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701d\Documents\DATT-WORK\Internship Materials\"/>
    </mc:Choice>
  </mc:AlternateContent>
  <xr:revisionPtr revIDLastSave="0" documentId="8_{9D342CEB-3A69-4845-A101-10BF41C05A8D}" xr6:coauthVersionLast="47" xr6:coauthVersionMax="47" xr10:uidLastSave="{00000000-0000-0000-0000-000000000000}"/>
  <bookViews>
    <workbookView xWindow="3852" yWindow="2484" windowWidth="23076" windowHeight="12132" xr2:uid="{00000000-000D-0000-FFFF-FFFF00000000}"/>
  </bookViews>
  <sheets>
    <sheet name="Documentation" sheetId="8" r:id="rId1"/>
    <sheet name="Menu" sheetId="7" r:id="rId2"/>
    <sheet name="Hire Confirmation PDF" sheetId="9" r:id="rId3"/>
    <sheet name="Hire Agreement" sheetId="10" r:id="rId4"/>
    <sheet name="Tax Invoice" sheetId="51" r:id="rId5"/>
    <sheet name="Customer" sheetId="1" r:id="rId6"/>
    <sheet name="CarDetails" sheetId="2" r:id="rId7"/>
    <sheet name="Add-ons" sheetId="6" r:id="rId8"/>
    <sheet name="RentalDetails" sheetId="3" r:id="rId9"/>
  </sheets>
  <externalReferences>
    <externalReference r:id="rId10"/>
  </externalReferences>
  <definedNames>
    <definedName name="Customer">Customer!$A$1:$I$19</definedName>
    <definedName name="Dress">CarDetails!$A$1:$E$21</definedName>
    <definedName name="Rental">RentalDetails!$B$1:$H$1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H10" i="3"/>
  <c r="H9" i="3"/>
  <c r="H8" i="3"/>
  <c r="I7" i="3"/>
  <c r="H7" i="3"/>
  <c r="I6" i="3"/>
  <c r="H6" i="3"/>
  <c r="I5" i="3"/>
  <c r="H5" i="3"/>
  <c r="I4" i="3"/>
  <c r="H4" i="3"/>
  <c r="I3" i="3"/>
  <c r="H3" i="3"/>
  <c r="I2" i="3"/>
  <c r="H2" i="3"/>
  <c r="J9" i="9" l="1"/>
</calcChain>
</file>

<file path=xl/sharedStrings.xml><?xml version="1.0" encoding="utf-8"?>
<sst xmlns="http://schemas.openxmlformats.org/spreadsheetml/2006/main" count="724" uniqueCount="462">
  <si>
    <t>CustomerID</t>
  </si>
  <si>
    <t>LastName</t>
  </si>
  <si>
    <t>FirstName</t>
  </si>
  <si>
    <t>Address</t>
  </si>
  <si>
    <t>City</t>
  </si>
  <si>
    <t>State</t>
  </si>
  <si>
    <t>Postcode</t>
  </si>
  <si>
    <t>Telephone</t>
  </si>
  <si>
    <t>EmailAddress</t>
  </si>
  <si>
    <t>VIC</t>
  </si>
  <si>
    <t>NSW</t>
  </si>
  <si>
    <t>QLD</t>
  </si>
  <si>
    <t>WA</t>
  </si>
  <si>
    <t>TAS</t>
  </si>
  <si>
    <t>SA</t>
  </si>
  <si>
    <t>White</t>
  </si>
  <si>
    <t>DeliveryAddress</t>
  </si>
  <si>
    <t>QoH</t>
    <phoneticPr fontId="1" type="noConversion"/>
  </si>
  <si>
    <t>Smith</t>
  </si>
  <si>
    <t>Jones</t>
  </si>
  <si>
    <t>Brown</t>
  </si>
  <si>
    <t>Davis</t>
  </si>
  <si>
    <t>Miller</t>
  </si>
  <si>
    <t>Wilson</t>
  </si>
  <si>
    <t>Moore</t>
  </si>
  <si>
    <t>Taylor</t>
  </si>
  <si>
    <t>Thomas</t>
  </si>
  <si>
    <t>Jackson</t>
  </si>
  <si>
    <t>Harris</t>
  </si>
  <si>
    <t>Martin</t>
  </si>
  <si>
    <t>Thompson</t>
  </si>
  <si>
    <t>Garcia</t>
  </si>
  <si>
    <t>Martinez</t>
  </si>
  <si>
    <t>Robinson</t>
  </si>
  <si>
    <t>Emma</t>
  </si>
  <si>
    <t>Noah</t>
  </si>
  <si>
    <t>Ava</t>
  </si>
  <si>
    <t>Isabella</t>
  </si>
  <si>
    <t>Sophia</t>
  </si>
  <si>
    <t>Mia</t>
  </si>
  <si>
    <t>Aiden</t>
  </si>
  <si>
    <t>Oliver</t>
  </si>
  <si>
    <t>Amelia</t>
  </si>
  <si>
    <t>Harper</t>
  </si>
  <si>
    <t>Evelyn</t>
  </si>
  <si>
    <t>Abigail</t>
  </si>
  <si>
    <t>Emily</t>
  </si>
  <si>
    <t>Elizabeth</t>
  </si>
  <si>
    <t>Michael</t>
  </si>
  <si>
    <t>William</t>
  </si>
  <si>
    <t>123 Johnson Street</t>
  </si>
  <si>
    <t>Sydney</t>
  </si>
  <si>
    <t>456 Smith Avenue</t>
  </si>
  <si>
    <t>101 King Street</t>
  </si>
  <si>
    <t>Perth</t>
  </si>
  <si>
    <t>222 Taylor Crescent</t>
  </si>
  <si>
    <t>Adelaide</t>
  </si>
  <si>
    <t>333 Beach Boulevard</t>
  </si>
  <si>
    <t>Gold Coast</t>
  </si>
  <si>
    <t>444 Capital Avenue</t>
  </si>
  <si>
    <t>Canberra</t>
  </si>
  <si>
    <t>ACT</t>
  </si>
  <si>
    <t>555 Hunter Lane</t>
  </si>
  <si>
    <t>Newcastle</t>
  </si>
  <si>
    <t>666 Mountain View Drive</t>
  </si>
  <si>
    <t>Hobart</t>
  </si>
  <si>
    <t>777 Outback Drive</t>
  </si>
  <si>
    <t>Darwin</t>
  </si>
  <si>
    <t>NT</t>
  </si>
  <si>
    <t>999 Coastal Drive</t>
  </si>
  <si>
    <t>Wollongong</t>
  </si>
  <si>
    <t>111 Moorabool Street</t>
  </si>
  <si>
    <t>Geelong</t>
  </si>
  <si>
    <t>222 Strand Avenue</t>
  </si>
  <si>
    <t>Townsville</t>
  </si>
  <si>
    <t>333 Range Road</t>
  </si>
  <si>
    <t>Toowoomba</t>
  </si>
  <si>
    <t>444 Riverbank Place</t>
  </si>
  <si>
    <t>Launceston</t>
  </si>
  <si>
    <t>555 Sovereign Street</t>
  </si>
  <si>
    <t>Ballarat</t>
  </si>
  <si>
    <t>666 Goldfields Road</t>
  </si>
  <si>
    <t>Bendigo</t>
  </si>
  <si>
    <t>777 Sugarland Drive</t>
  </si>
  <si>
    <t>Mackay</t>
  </si>
  <si>
    <t>888 Oceanview Terrace</t>
  </si>
  <si>
    <t>Bunbury</t>
  </si>
  <si>
    <t>0412 345 678</t>
  </si>
  <si>
    <t>0449 876 543</t>
  </si>
  <si>
    <t>0456 234 567</t>
  </si>
  <si>
    <t>0467 890 123</t>
  </si>
  <si>
    <t>0478 901 234</t>
  </si>
  <si>
    <t>0489 345 678</t>
  </si>
  <si>
    <t>0490 234 567</t>
  </si>
  <si>
    <t>0401 678 901</t>
  </si>
  <si>
    <t>0427 890 123</t>
  </si>
  <si>
    <t>0438 901 234</t>
  </si>
  <si>
    <t>0445 123 456</t>
  </si>
  <si>
    <t>0458 234 567</t>
  </si>
  <si>
    <t>0469 345 678</t>
  </si>
  <si>
    <t>0470 456 789</t>
  </si>
  <si>
    <t>0481 567 890</t>
  </si>
  <si>
    <t>0492 678 901</t>
  </si>
  <si>
    <t>0403 789 012</t>
  </si>
  <si>
    <t>emma.smith@sparkmail.net</t>
  </si>
  <si>
    <t>liam.johnson@skylineemail.com</t>
  </si>
  <si>
    <t>noah.jones@crimsonmail.xyz</t>
  </si>
  <si>
    <t>isabella.davis@peakmail.org</t>
  </si>
  <si>
    <t>sophia.miller@orbitalmail.net</t>
  </si>
  <si>
    <t>mia.wilson@cascadeemail.com</t>
  </si>
  <si>
    <t>jackson.moore@horizonmail.xyz</t>
  </si>
  <si>
    <t>oliver.thomas@lunarmail.net</t>
  </si>
  <si>
    <t>amelia.jackson@solarismail.xyz</t>
  </si>
  <si>
    <t>evelyn.harris@cosmicmail.org</t>
  </si>
  <si>
    <t>abigail.martin@nebulaemail.com</t>
  </si>
  <si>
    <t>elizabeth.garcia@quasarmail.net</t>
  </si>
  <si>
    <t>michael.martinez@cometmail.xyz</t>
  </si>
  <si>
    <t>CarMake</t>
    <phoneticPr fontId="1" type="noConversion"/>
  </si>
  <si>
    <t>CarModel</t>
    <phoneticPr fontId="1" type="noConversion"/>
  </si>
  <si>
    <t>CarYear</t>
    <phoneticPr fontId="1" type="noConversion"/>
  </si>
  <si>
    <t>Rent per day (AUD)</t>
    <phoneticPr fontId="1" type="noConversion"/>
  </si>
  <si>
    <t>CarValue (AUD)</t>
    <phoneticPr fontId="1" type="noConversion"/>
  </si>
  <si>
    <t>Aston Martin</t>
  </si>
  <si>
    <t>Rapide</t>
  </si>
  <si>
    <t>Vantage</t>
  </si>
  <si>
    <t>Audi</t>
  </si>
  <si>
    <t>RS5</t>
  </si>
  <si>
    <t>RS Q8</t>
  </si>
  <si>
    <t>Q7</t>
  </si>
  <si>
    <t>Bentley</t>
  </si>
  <si>
    <t>Bentayga S</t>
  </si>
  <si>
    <t>Continental GT</t>
  </si>
  <si>
    <t>Continental Supersports</t>
  </si>
  <si>
    <t>Flying Spur</t>
  </si>
  <si>
    <t>BMW</t>
  </si>
  <si>
    <t>7 Series</t>
  </si>
  <si>
    <t>i8</t>
  </si>
  <si>
    <t>X7</t>
  </si>
  <si>
    <t>Z4</t>
  </si>
  <si>
    <t>Jaguar</t>
  </si>
  <si>
    <t>E-PACE</t>
  </si>
  <si>
    <t>Maserati</t>
  </si>
  <si>
    <t>Ghibli</t>
  </si>
  <si>
    <t>Quattroporte</t>
  </si>
  <si>
    <t>Mercedes-Benz</t>
  </si>
  <si>
    <t>AMG GT</t>
  </si>
  <si>
    <t>GLE</t>
  </si>
  <si>
    <t>E-Class</t>
  </si>
  <si>
    <t>S-Class</t>
  </si>
  <si>
    <t>Porsche</t>
  </si>
  <si>
    <t>Boxster</t>
  </si>
  <si>
    <t>Cayenne</t>
  </si>
  <si>
    <t>Cayman</t>
  </si>
  <si>
    <t>Macan</t>
  </si>
  <si>
    <t>Panamera</t>
  </si>
  <si>
    <t>Rolls-Royce</t>
  </si>
  <si>
    <t>Cullinan</t>
  </si>
  <si>
    <t>Ghost</t>
  </si>
  <si>
    <t>Phantom</t>
  </si>
  <si>
    <t>XYZ987</t>
  </si>
  <si>
    <t>GHI456</t>
  </si>
  <si>
    <t>JKL789</t>
  </si>
  <si>
    <t>MNO012</t>
  </si>
  <si>
    <t>PQR345</t>
  </si>
  <si>
    <t>STU678</t>
  </si>
  <si>
    <t>VWX901</t>
  </si>
  <si>
    <t>YZA234</t>
  </si>
  <si>
    <t>BCD567</t>
  </si>
  <si>
    <t>EFG890</t>
  </si>
  <si>
    <t>HIJ123</t>
  </si>
  <si>
    <t>KLM456</t>
  </si>
  <si>
    <t>NOP789</t>
  </si>
  <si>
    <t>QRS012</t>
  </si>
  <si>
    <t>TUV345</t>
  </si>
  <si>
    <t>WXY678</t>
  </si>
  <si>
    <t>ZAB901</t>
  </si>
  <si>
    <t>CDE234</t>
  </si>
  <si>
    <t>FGH567</t>
  </si>
  <si>
    <t>IJK890</t>
  </si>
  <si>
    <t>LMN123</t>
  </si>
  <si>
    <t>OPQ456</t>
  </si>
  <si>
    <t>RST789</t>
  </si>
  <si>
    <t>UVW012</t>
  </si>
  <si>
    <t>XYZ345</t>
  </si>
  <si>
    <t>ABC678</t>
  </si>
  <si>
    <t>DEF901</t>
  </si>
  <si>
    <t>GHI234</t>
  </si>
  <si>
    <t>JKL567</t>
  </si>
  <si>
    <t>MNO890</t>
  </si>
  <si>
    <t>PQR123</t>
  </si>
  <si>
    <t>STU456</t>
  </si>
  <si>
    <t>VWX789</t>
  </si>
  <si>
    <t>YZA012</t>
  </si>
  <si>
    <t>BCD345</t>
  </si>
  <si>
    <t>EFG678</t>
  </si>
  <si>
    <t>HIJ901</t>
  </si>
  <si>
    <t>KLM234</t>
  </si>
  <si>
    <t>NOP567</t>
  </si>
  <si>
    <t>OPQ890</t>
  </si>
  <si>
    <t>RST123</t>
  </si>
  <si>
    <t>UVW456</t>
  </si>
  <si>
    <t>XYZ789</t>
  </si>
  <si>
    <t>ABC012</t>
  </si>
  <si>
    <t>DEF345</t>
  </si>
  <si>
    <t>GHI678</t>
  </si>
  <si>
    <t>JKL901</t>
  </si>
  <si>
    <t>MNO234</t>
  </si>
  <si>
    <t>PQR567</t>
  </si>
  <si>
    <t>STU890</t>
  </si>
  <si>
    <t>VWX123</t>
  </si>
  <si>
    <t>YZA456</t>
  </si>
  <si>
    <t>BCD789</t>
  </si>
  <si>
    <t>EFG012</t>
  </si>
  <si>
    <t>HIJ345</t>
  </si>
  <si>
    <t>KLM678</t>
  </si>
  <si>
    <t>NOP901</t>
  </si>
  <si>
    <t>OPQ234</t>
  </si>
  <si>
    <t>RST567</t>
  </si>
  <si>
    <t>UVW890</t>
  </si>
  <si>
    <t>ABC456</t>
  </si>
  <si>
    <t>DEF789</t>
  </si>
  <si>
    <t>GHI012</t>
  </si>
  <si>
    <t>JKL345</t>
  </si>
  <si>
    <t>MNO678</t>
  </si>
  <si>
    <t>CarRego</t>
    <phoneticPr fontId="1" type="noConversion"/>
  </si>
  <si>
    <t>RNT1001</t>
    <phoneticPr fontId="1" type="noConversion"/>
  </si>
  <si>
    <t>RNT1002</t>
    <phoneticPr fontId="1" type="noConversion"/>
  </si>
  <si>
    <t>RNT1003</t>
    <phoneticPr fontId="1" type="noConversion"/>
  </si>
  <si>
    <t>RNT1004</t>
    <phoneticPr fontId="1" type="noConversion"/>
  </si>
  <si>
    <t>RNT1005</t>
    <phoneticPr fontId="1" type="noConversion"/>
  </si>
  <si>
    <t>RNT1006</t>
    <phoneticPr fontId="1" type="noConversion"/>
  </si>
  <si>
    <t>RentDate</t>
    <phoneticPr fontId="1" type="noConversion"/>
  </si>
  <si>
    <t>ReturnDate</t>
    <phoneticPr fontId="1" type="noConversion"/>
  </si>
  <si>
    <t>Add-ons</t>
    <phoneticPr fontId="1" type="noConversion"/>
  </si>
  <si>
    <t>ItemID</t>
    <phoneticPr fontId="1" type="noConversion"/>
  </si>
  <si>
    <t>ItemName</t>
    <phoneticPr fontId="1" type="noConversion"/>
  </si>
  <si>
    <t>Toll Pass</t>
    <phoneticPr fontId="1" type="noConversion"/>
  </si>
  <si>
    <t>Child Safety Seat</t>
    <phoneticPr fontId="1" type="noConversion"/>
  </si>
  <si>
    <t>Roof Racks</t>
    <phoneticPr fontId="1" type="noConversion"/>
  </si>
  <si>
    <t>Portable Coolers</t>
    <phoneticPr fontId="1" type="noConversion"/>
  </si>
  <si>
    <t>ReturnCondition</t>
    <phoneticPr fontId="1" type="noConversion"/>
  </si>
  <si>
    <t>Good</t>
    <phoneticPr fontId="1" type="noConversion"/>
  </si>
  <si>
    <t>Dirty</t>
    <phoneticPr fontId="1" type="noConversion"/>
  </si>
  <si>
    <t>Damaged</t>
    <phoneticPr fontId="1" type="noConversion"/>
  </si>
  <si>
    <t>TotalRentalFees</t>
    <phoneticPr fontId="1" type="noConversion"/>
  </si>
  <si>
    <t>Fair</t>
    <phoneticPr fontId="1" type="noConversion"/>
  </si>
  <si>
    <t>Mercedes-Benz</t>
    <phoneticPr fontId="1" type="noConversion"/>
  </si>
  <si>
    <t>AMG GT</t>
    <phoneticPr fontId="1" type="noConversion"/>
  </si>
  <si>
    <t>Authors</t>
  </si>
  <si>
    <t>Kalan Macfarlane, Datt Patel, Aarav Purandare</t>
  </si>
  <si>
    <t>Date</t>
  </si>
  <si>
    <t>Purpose</t>
  </si>
  <si>
    <t>Notes</t>
  </si>
  <si>
    <t>Data Definition Table For Customer Worksheet</t>
  </si>
  <si>
    <t>Purpose: To store the details of existing customers</t>
  </si>
  <si>
    <t>Field</t>
  </si>
  <si>
    <t>Description</t>
  </si>
  <si>
    <t>Format</t>
  </si>
  <si>
    <t>The customer ID</t>
  </si>
  <si>
    <t>Text</t>
  </si>
  <si>
    <t>The first name of the customer</t>
  </si>
  <si>
    <t>The last name of the customer</t>
  </si>
  <si>
    <t>The address of the customer</t>
  </si>
  <si>
    <t>The city of the customer</t>
  </si>
  <si>
    <t>The state of the customer</t>
  </si>
  <si>
    <t>The postcode of the customer</t>
  </si>
  <si>
    <t>The telephone of the customer</t>
  </si>
  <si>
    <t>The email address of the customer</t>
  </si>
  <si>
    <t>A link is present, upon clicking it will create an email towards them</t>
  </si>
  <si>
    <t>Data Definition Table For Car Details Worksheet</t>
  </si>
  <si>
    <t>Purpose: To store the details of the cars avaliable for rental</t>
  </si>
  <si>
    <t>CarRego</t>
  </si>
  <si>
    <t>The registered plate number of the car</t>
  </si>
  <si>
    <t>CarMake</t>
  </si>
  <si>
    <t>The car company</t>
  </si>
  <si>
    <t>CarModel</t>
  </si>
  <si>
    <t>The model of the car</t>
  </si>
  <si>
    <t>CarYear</t>
  </si>
  <si>
    <t>The year it was manufactured</t>
  </si>
  <si>
    <t>Number</t>
  </si>
  <si>
    <t>Rent per day (AUD)</t>
  </si>
  <si>
    <t>The price of renting the car per day</t>
  </si>
  <si>
    <t>CarValue (AUD)</t>
  </si>
  <si>
    <t>The value of the car when purchased from a store.</t>
  </si>
  <si>
    <t>Data Definition Table For Add-Ons Worksheet</t>
  </si>
  <si>
    <t>Purpose: To store the details of car add-ons (extra additions for the car) and its quantity</t>
  </si>
  <si>
    <t>ItemID</t>
  </si>
  <si>
    <t>The ID of the add-on</t>
  </si>
  <si>
    <t>ItemName</t>
  </si>
  <si>
    <t>The name of the add-on</t>
  </si>
  <si>
    <t>QoH</t>
  </si>
  <si>
    <t>The quantity in hand for that add-on</t>
  </si>
  <si>
    <t>Data Definition Table For RentalDetails Worksheet</t>
  </si>
  <si>
    <t>RentalID</t>
  </si>
  <si>
    <t>The ID of the rental purchase</t>
  </si>
  <si>
    <t>The ID of the customer purchase</t>
  </si>
  <si>
    <t>RentDate</t>
  </si>
  <si>
    <t>The date of hire</t>
  </si>
  <si>
    <t>Date + Time</t>
  </si>
  <si>
    <t>ReturnDate</t>
  </si>
  <si>
    <t>The date of return</t>
  </si>
  <si>
    <t>ReturnCondition</t>
  </si>
  <si>
    <t>The condition the car was returned in</t>
  </si>
  <si>
    <t>There are 4 conditions; good, far, damaged, dirty</t>
  </si>
  <si>
    <t>Add-ons</t>
  </si>
  <si>
    <t>The ItemID of the chosen Add-on</t>
  </si>
  <si>
    <t>The address for the car to be delivered to</t>
  </si>
  <si>
    <t>TotalRentalFees</t>
  </si>
  <si>
    <t>The fee / price of rental transaction</t>
  </si>
  <si>
    <t>Accounting</t>
  </si>
  <si>
    <t>Data Definition Table For Menu Worksheet</t>
  </si>
  <si>
    <t>Main Menu</t>
  </si>
  <si>
    <t>A button to open up the main menu</t>
  </si>
  <si>
    <t>Control Button</t>
  </si>
  <si>
    <t>To use userforms and VBA to create a menu that enables a user to perform certain tasks that mimics a usual business software</t>
  </si>
  <si>
    <t xml:space="preserve">Melbourne        </t>
  </si>
  <si>
    <t xml:space="preserve">VIC              </t>
  </si>
  <si>
    <t xml:space="preserve">0421 987 654     </t>
  </si>
  <si>
    <t>Customer Information UserForm</t>
  </si>
  <si>
    <t>Procedure</t>
  </si>
  <si>
    <t xml:space="preserve">Liam               </t>
  </si>
  <si>
    <t xml:space="preserve">Johnson              </t>
  </si>
  <si>
    <t>ava.brown@zenithmail.com</t>
  </si>
  <si>
    <t>aiden.taylor@auroramail.com</t>
  </si>
  <si>
    <t>harper.white@equinoxmail.com</t>
  </si>
  <si>
    <t>emily.thompson@novaemail.com</t>
  </si>
  <si>
    <t>william.robinson@asterismail.com</t>
  </si>
  <si>
    <t>txtCustomerId</t>
  </si>
  <si>
    <t>Checks the inputed customer ID then fills in other text boxes with corresponding information. If it is a new customer then nothing is automatically filled in</t>
  </si>
  <si>
    <t>cmdAdd</t>
  </si>
  <si>
    <t>Adds the new information into the Customer sheet</t>
  </si>
  <si>
    <t xml:space="preserve">cmdAddtoNewRental </t>
  </si>
  <si>
    <t>Adds the customer ID to new rental form</t>
  </si>
  <si>
    <t>cmdCancel</t>
  </si>
  <si>
    <t>Closes the user form and reopens Main menu</t>
  </si>
  <si>
    <t>cmdClear</t>
  </si>
  <si>
    <t>Clears any information in the text boxes</t>
  </si>
  <si>
    <t>cmdDelete</t>
  </si>
  <si>
    <t>Deletes the information from the selected text box</t>
  </si>
  <si>
    <t>cmdModify</t>
  </si>
  <si>
    <t>Allows user to modify pre existing customer information</t>
  </si>
  <si>
    <t>cmdOk</t>
  </si>
  <si>
    <t>Moves the user to the New rental user form once a customer has been selected</t>
  </si>
  <si>
    <t>cmdSearch</t>
  </si>
  <si>
    <t>Shows the customers avaiable that match the inputed Customer ID</t>
  </si>
  <si>
    <t>lbxCustomerDatabase</t>
  </si>
  <si>
    <t>Displays the data of existing customers</t>
  </si>
  <si>
    <t>LookupCustomerId</t>
  </si>
  <si>
    <t>Allows user to look up customer information based on the inputed ID</t>
  </si>
  <si>
    <t>Hire Conformation UserForm</t>
  </si>
  <si>
    <t>Cancels the hire order and reopens the main menu</t>
  </si>
  <si>
    <t>AddCode</t>
  </si>
  <si>
    <t>Adds the desired hire order to the database</t>
  </si>
  <si>
    <t>New Rental UserForm</t>
  </si>
  <si>
    <t>CboAddOns</t>
  </si>
  <si>
    <t>Allows user to select an add on</t>
  </si>
  <si>
    <t>CmdApply</t>
  </si>
  <si>
    <t>Stores the users hire order and takes them to the hire confirmation userform</t>
  </si>
  <si>
    <t>CmdCancel</t>
  </si>
  <si>
    <t>Cancels the hire order and opens Customer Information Userform</t>
  </si>
  <si>
    <t>CmdIDLookup</t>
  </si>
  <si>
    <t xml:space="preserve">Opens the Customer Information Userform for user to select an ID which they can link to the new rental </t>
  </si>
  <si>
    <t>txtHireTime</t>
  </si>
  <si>
    <t>Asks user to enter time they want to begin the hire</t>
  </si>
  <si>
    <t>cboCarMake</t>
  </si>
  <si>
    <t>Shows the car makes owned by LuxDrives</t>
  </si>
  <si>
    <t>cboCarModel</t>
  </si>
  <si>
    <t>Shows the car models depending on which car make has been selected</t>
  </si>
  <si>
    <t>cboCarYear</t>
  </si>
  <si>
    <t>Shows the car year depending on which car model has been selected</t>
  </si>
  <si>
    <t>txtHireDate</t>
  </si>
  <si>
    <t>Asks user to enter start date of hire</t>
  </si>
  <si>
    <t>txtDaysHiring</t>
  </si>
  <si>
    <t>Asks user to enter the duration of hire to calculate the total price</t>
  </si>
  <si>
    <t>Main Menu UserForm</t>
  </si>
  <si>
    <t>cmdCustomerInformation</t>
  </si>
  <si>
    <t>cmdNewRental</t>
  </si>
  <si>
    <t>Goes to the customer information userform</t>
  </si>
  <si>
    <t>Goes to the new rental userform</t>
  </si>
  <si>
    <t>Click</t>
  </si>
  <si>
    <t>Change</t>
  </si>
  <si>
    <t>Function</t>
  </si>
  <si>
    <t>UserForm_Initialize</t>
  </si>
  <si>
    <t>Inputs Data into the list box and fills the states in</t>
  </si>
  <si>
    <t>Initialization</t>
  </si>
  <si>
    <t>FormatColumn</t>
  </si>
  <si>
    <t>Formats the columns to make the list box entries align</t>
  </si>
  <si>
    <t>lblCustomerId1_Click</t>
  </si>
  <si>
    <t>When clicked, It reverses the entries as a mean of sorting</t>
  </si>
  <si>
    <t>SortListBox</t>
  </si>
  <si>
    <t>Sorts using bubble sort</t>
  </si>
  <si>
    <t>IsInComboBox</t>
  </si>
  <si>
    <t>Checks if something is in combo box or not</t>
  </si>
  <si>
    <t>cmdCancelOrder</t>
  </si>
  <si>
    <t>cmdConfirmAdd, cmdConfirmAddMore</t>
  </si>
  <si>
    <t>Takes user back to new rental userform to add another hire, addmore saves the rental id and customer id</t>
  </si>
  <si>
    <t>AfterUpdate</t>
  </si>
  <si>
    <t>Procedures</t>
  </si>
  <si>
    <t>asdfgh</t>
  </si>
  <si>
    <t>adfg</t>
  </si>
  <si>
    <t>asdfg</t>
  </si>
  <si>
    <t>asdfghkl;</t>
  </si>
  <si>
    <t>asdf</t>
  </si>
  <si>
    <t>sdfg</t>
  </si>
  <si>
    <t>asuio</t>
  </si>
  <si>
    <t>asdfghkl;lkhgdsa</t>
  </si>
  <si>
    <t>HIRE CONFIRMATION - TAX INVOICE</t>
  </si>
  <si>
    <t>LUXDRIVE</t>
  </si>
  <si>
    <t xml:space="preserve">Name: </t>
  </si>
  <si>
    <t xml:space="preserve">Phone: </t>
  </si>
  <si>
    <t>Rental ID:</t>
  </si>
  <si>
    <t>Address:</t>
  </si>
  <si>
    <t>Pick Up Date:</t>
  </si>
  <si>
    <t xml:space="preserve">Return Date: </t>
  </si>
  <si>
    <t>Booking Date:</t>
  </si>
  <si>
    <t>Rented Items</t>
  </si>
  <si>
    <t xml:space="preserve">Make: </t>
  </si>
  <si>
    <t>Days Hiring</t>
  </si>
  <si>
    <t>Price Per Day:</t>
  </si>
  <si>
    <t xml:space="preserve">Model: </t>
  </si>
  <si>
    <t>Total Price:</t>
  </si>
  <si>
    <t xml:space="preserve">Year: </t>
  </si>
  <si>
    <t>Add-Ons:</t>
  </si>
  <si>
    <t>Complete Total Price:</t>
  </si>
  <si>
    <t>Hirer Details:</t>
  </si>
  <si>
    <t>name</t>
  </si>
  <si>
    <t>address</t>
  </si>
  <si>
    <t>city, state, postcode</t>
  </si>
  <si>
    <t>Phone:</t>
  </si>
  <si>
    <t>Rental Name:</t>
  </si>
  <si>
    <t>Pickup Date:</t>
  </si>
  <si>
    <t>Return Date:</t>
  </si>
  <si>
    <t>RNTXXXX</t>
  </si>
  <si>
    <t>XXXX XXX XXX</t>
  </si>
  <si>
    <t>DD/MM/YYYY</t>
  </si>
  <si>
    <t>Make:</t>
  </si>
  <si>
    <t>Model:</t>
  </si>
  <si>
    <t>carModel</t>
  </si>
  <si>
    <t>carMake</t>
  </si>
  <si>
    <t>Year:</t>
  </si>
  <si>
    <t>carYear</t>
  </si>
  <si>
    <t>addOns</t>
  </si>
  <si>
    <t>Price</t>
  </si>
  <si>
    <t>$$$$</t>
  </si>
  <si>
    <t>$$$$$</t>
  </si>
  <si>
    <t>lastName</t>
  </si>
  <si>
    <t>##</t>
  </si>
  <si>
    <t xml:space="preserve">Total Rental Price: </t>
  </si>
  <si>
    <t>Canberra, ACT 2600</t>
  </si>
  <si>
    <t>RNT1003</t>
  </si>
  <si>
    <t>Dirty</t>
  </si>
  <si>
    <t>Car Registration:</t>
  </si>
  <si>
    <t>Days Hired:</t>
  </si>
  <si>
    <t>Condition:</t>
  </si>
  <si>
    <t>----</t>
  </si>
  <si>
    <t>------</t>
  </si>
  <si>
    <t>Printed Date:</t>
  </si>
  <si>
    <t>Sophia Miller</t>
  </si>
  <si>
    <t>No Add-Ons</t>
  </si>
  <si>
    <t>RentalID</t>
    <phoneticPr fontId="1" type="noConversion"/>
  </si>
  <si>
    <t>GPS Navigation System</t>
    <phoneticPr fontId="1" type="noConversion"/>
  </si>
  <si>
    <t xml:space="preserve">Assignment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</si>
</sst>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164" formatCode="_([$$-409]* #,##0.00_);_([$$-409]* \(#,##0.00\);_([$$-409]* &quot;-&quot;??_);_(@_)"/>
    <numFmt numFmtId="165" formatCode="0.00_);[Red]\(0.00\)"/>
    <numFmt numFmtId="166" formatCode="m&quot;月&quot;d&quot;日&quot;"/>
  </numFmts>
  <fonts count="14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i/>
      <sz val="18"/>
      <color theme="1"/>
      <name val="Verdana"/>
      <family val="2"/>
    </font>
    <font>
      <sz val="11"/>
      <name val="Calibri"/>
      <family val="2"/>
      <scheme val="minor"/>
    </font>
    <font>
      <i/>
      <sz val="18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2" borderId="0" xfId="0" applyFill="1"/>
    <xf numFmtId="164" fontId="0" fillId="0" borderId="0" xfId="0" applyNumberFormat="1"/>
    <xf numFmtId="164" fontId="0" fillId="2" borderId="0" xfId="0" applyNumberFormat="1" applyFill="1"/>
    <xf numFmtId="0" fontId="3" fillId="0" borderId="0" xfId="0" applyFont="1"/>
    <xf numFmtId="165" fontId="0" fillId="0" borderId="0" xfId="0" applyNumberFormat="1"/>
    <xf numFmtId="0" fontId="0" fillId="0" borderId="0" xfId="0" applyAlignment="1">
      <alignment horizontal="left"/>
    </xf>
    <xf numFmtId="49" fontId="3" fillId="0" borderId="0" xfId="0" applyNumberFormat="1" applyFont="1"/>
    <xf numFmtId="0" fontId="2" fillId="0" borderId="0" xfId="1" applyAlignment="1">
      <alignment vertical="center"/>
    </xf>
    <xf numFmtId="166" fontId="0" fillId="0" borderId="0" xfId="0" applyNumberFormat="1"/>
    <xf numFmtId="17" fontId="0" fillId="0" borderId="0" xfId="0" applyNumberFormat="1"/>
    <xf numFmtId="14" fontId="0" fillId="0" borderId="0" xfId="0" applyNumberFormat="1" applyAlignment="1">
      <alignment horizontal="left"/>
    </xf>
    <xf numFmtId="0" fontId="5" fillId="0" borderId="0" xfId="0" applyFont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/>
    <xf numFmtId="0" fontId="11" fillId="0" borderId="1" xfId="0" applyFont="1" applyBorder="1"/>
    <xf numFmtId="0" fontId="0" fillId="0" borderId="1" xfId="0" applyBorder="1"/>
    <xf numFmtId="0" fontId="0" fillId="5" borderId="1" xfId="0" applyFill="1" applyBorder="1"/>
    <xf numFmtId="0" fontId="0" fillId="5" borderId="0" xfId="0" applyFill="1"/>
    <xf numFmtId="0" fontId="13" fillId="5" borderId="0" xfId="0" applyFont="1" applyFill="1" applyAlignment="1">
      <alignment vertical="center"/>
    </xf>
    <xf numFmtId="0" fontId="13" fillId="5" borderId="2" xfId="0" applyFont="1" applyFill="1" applyBorder="1" applyAlignment="1">
      <alignment vertical="center"/>
    </xf>
    <xf numFmtId="0" fontId="0" fillId="5" borderId="2" xfId="0" applyFill="1" applyBorder="1"/>
    <xf numFmtId="0" fontId="10" fillId="0" borderId="0" xfId="0" applyFont="1" applyAlignment="1">
      <alignment horizontal="left"/>
    </xf>
    <xf numFmtId="0" fontId="0" fillId="0" borderId="2" xfId="0" applyBorder="1"/>
    <xf numFmtId="0" fontId="0" fillId="0" borderId="3" xfId="0" applyBorder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0" fillId="0" borderId="4" xfId="0" applyFont="1" applyBorder="1"/>
    <xf numFmtId="0" fontId="0" fillId="0" borderId="4" xfId="0" applyBorder="1"/>
    <xf numFmtId="0" fontId="10" fillId="0" borderId="4" xfId="0" applyFont="1" applyBorder="1" applyAlignment="1">
      <alignment horizontal="left" vertical="top"/>
    </xf>
    <xf numFmtId="0" fontId="10" fillId="0" borderId="4" xfId="0" applyFont="1" applyBorder="1" applyAlignment="1">
      <alignment vertical="top"/>
    </xf>
    <xf numFmtId="22" fontId="0" fillId="0" borderId="0" xfId="0" applyNumberFormat="1" applyAlignment="1">
      <alignment horizontal="right"/>
    </xf>
    <xf numFmtId="0" fontId="0" fillId="0" borderId="0" xfId="0" quotePrefix="1" applyAlignment="1">
      <alignment horizontal="center"/>
    </xf>
    <xf numFmtId="8" fontId="0" fillId="0" borderId="0" xfId="0" applyNumberFormat="1" applyAlignment="1">
      <alignment horizontal="right"/>
    </xf>
    <xf numFmtId="8" fontId="0" fillId="0" borderId="0" xfId="0" applyNumberFormat="1"/>
    <xf numFmtId="14" fontId="0" fillId="0" borderId="0" xfId="0" applyNumberFormat="1" applyAlignment="1">
      <alignment horizontal="right"/>
    </xf>
    <xf numFmtId="0" fontId="0" fillId="3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2" fillId="0" borderId="0" xfId="0" applyFont="1" applyAlignment="1">
      <alignment horizontal="right" vertical="center"/>
    </xf>
    <xf numFmtId="0" fontId="12" fillId="0" borderId="2" xfId="0" applyFont="1" applyBorder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/>
    </xf>
    <xf numFmtId="14" fontId="0" fillId="0" borderId="2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0</xdr:row>
          <xdr:rowOff>175260</xdr:rowOff>
        </xdr:from>
        <xdr:to>
          <xdr:col>12</xdr:col>
          <xdr:colOff>457200</xdr:colOff>
          <xdr:row>17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285386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586" cy="552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2701d\Downloads\FIT1013%20A2_2023.xlsx" TargetMode="External"/><Relationship Id="rId1" Type="http://schemas.openxmlformats.org/officeDocument/2006/relationships/externalLinkPath" Target="/Users/2701d/Downloads/FIT1013%20A2_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ustomer"/>
      <sheetName val="CarDetails"/>
      <sheetName val="Add-ons"/>
      <sheetName val="RentalDetails"/>
    </sheetNames>
    <sheetDataSet>
      <sheetData sheetId="0">
        <row r="2">
          <cell r="A2">
            <v>11201</v>
          </cell>
          <cell r="B2" t="str">
            <v>Smith</v>
          </cell>
          <cell r="C2" t="str">
            <v>Emma</v>
          </cell>
          <cell r="D2" t="str">
            <v>123 Johnson Street</v>
          </cell>
          <cell r="E2" t="str">
            <v>Sydney</v>
          </cell>
          <cell r="F2" t="str">
            <v>NSW</v>
          </cell>
          <cell r="G2">
            <v>2000</v>
          </cell>
          <cell r="H2" t="str">
            <v>0412 345 678</v>
          </cell>
          <cell r="I2" t="str">
            <v>emma.smith@sparkmail.net</v>
          </cell>
        </row>
        <row r="3">
          <cell r="A3">
            <v>11202</v>
          </cell>
          <cell r="B3" t="str">
            <v>Johnson</v>
          </cell>
          <cell r="C3" t="str">
            <v>Liam</v>
          </cell>
          <cell r="D3" t="str">
            <v>456 Smith Avenue</v>
          </cell>
          <cell r="E3" t="str">
            <v>Melbourne</v>
          </cell>
          <cell r="F3" t="str">
            <v>VIC</v>
          </cell>
          <cell r="G3">
            <v>3000</v>
          </cell>
          <cell r="H3" t="str">
            <v>0421 987 654</v>
          </cell>
          <cell r="I3" t="str">
            <v>liam.johnson@skylineemail.com</v>
          </cell>
        </row>
        <row r="4">
          <cell r="A4">
            <v>11203</v>
          </cell>
          <cell r="B4" t="str">
            <v>Williams</v>
          </cell>
          <cell r="C4" t="str">
            <v>Olivia</v>
          </cell>
          <cell r="D4" t="str">
            <v>789 Park Road</v>
          </cell>
          <cell r="E4" t="str">
            <v>Brisbane</v>
          </cell>
          <cell r="F4" t="str">
            <v>QLD</v>
          </cell>
          <cell r="G4">
            <v>4000</v>
          </cell>
          <cell r="H4" t="str">
            <v>0430 123 456</v>
          </cell>
          <cell r="I4" t="str">
            <v>olivia.williams@oceanwave.org</v>
          </cell>
        </row>
        <row r="5">
          <cell r="A5">
            <v>11204</v>
          </cell>
          <cell r="B5" t="str">
            <v>Jones</v>
          </cell>
          <cell r="C5" t="str">
            <v>Noah</v>
          </cell>
          <cell r="D5" t="str">
            <v>101 King Street</v>
          </cell>
          <cell r="E5" t="str">
            <v>Perth</v>
          </cell>
          <cell r="F5" t="str">
            <v>WA</v>
          </cell>
          <cell r="G5">
            <v>6000</v>
          </cell>
          <cell r="H5" t="str">
            <v>0449 876 543</v>
          </cell>
          <cell r="I5" t="str">
            <v>noah.jones@crimsonmail.xyz</v>
          </cell>
        </row>
        <row r="6">
          <cell r="A6">
            <v>11205</v>
          </cell>
          <cell r="B6" t="str">
            <v>Brown</v>
          </cell>
          <cell r="C6" t="str">
            <v>Ava</v>
          </cell>
          <cell r="D6" t="str">
            <v>222 Taylor Crescent</v>
          </cell>
          <cell r="E6" t="str">
            <v>Adelaide</v>
          </cell>
          <cell r="F6" t="str">
            <v>SA</v>
          </cell>
          <cell r="G6">
            <v>5000</v>
          </cell>
          <cell r="H6" t="str">
            <v>0456 234 567</v>
          </cell>
          <cell r="I6" t="str">
            <v>ava.brown@zenithmail.co</v>
          </cell>
        </row>
        <row r="7">
          <cell r="A7">
            <v>11206</v>
          </cell>
          <cell r="B7" t="str">
            <v>Davis</v>
          </cell>
          <cell r="C7" t="str">
            <v>Isabella</v>
          </cell>
          <cell r="D7" t="str">
            <v>333 Beach Boulevard</v>
          </cell>
          <cell r="E7" t="str">
            <v>Gold Coast</v>
          </cell>
          <cell r="F7" t="str">
            <v>QLD</v>
          </cell>
          <cell r="G7">
            <v>4217</v>
          </cell>
          <cell r="H7" t="str">
            <v>0467 890 123</v>
          </cell>
          <cell r="I7" t="str">
            <v>isabella.davis@peakmail.org</v>
          </cell>
        </row>
        <row r="8">
          <cell r="A8">
            <v>11207</v>
          </cell>
          <cell r="B8" t="str">
            <v>Miller</v>
          </cell>
          <cell r="C8" t="str">
            <v>Sophia</v>
          </cell>
          <cell r="D8" t="str">
            <v>444 Capital Avenue</v>
          </cell>
          <cell r="E8" t="str">
            <v>Canberra</v>
          </cell>
          <cell r="F8" t="str">
            <v>ACT</v>
          </cell>
          <cell r="G8">
            <v>2600</v>
          </cell>
          <cell r="H8" t="str">
            <v>0478 901 234</v>
          </cell>
          <cell r="I8" t="str">
            <v>sophia.miller@orbitalmail.net</v>
          </cell>
        </row>
        <row r="9">
          <cell r="A9">
            <v>11208</v>
          </cell>
          <cell r="B9" t="str">
            <v>Wilson</v>
          </cell>
          <cell r="C9" t="str">
            <v>Mia</v>
          </cell>
          <cell r="D9" t="str">
            <v>555 Hunter Lane</v>
          </cell>
          <cell r="E9" t="str">
            <v>Newcastle</v>
          </cell>
          <cell r="F9" t="str">
            <v>NSW</v>
          </cell>
          <cell r="G9">
            <v>2300</v>
          </cell>
          <cell r="H9" t="str">
            <v>0489 345 678</v>
          </cell>
          <cell r="I9" t="str">
            <v>mia.wilson@cascadeemail.com</v>
          </cell>
        </row>
        <row r="10">
          <cell r="A10">
            <v>11209</v>
          </cell>
          <cell r="B10" t="str">
            <v>Moore</v>
          </cell>
          <cell r="C10" t="str">
            <v>Jackson</v>
          </cell>
          <cell r="D10" t="str">
            <v>666 Mountain View Drive</v>
          </cell>
          <cell r="E10" t="str">
            <v>Hobart</v>
          </cell>
          <cell r="F10" t="str">
            <v>TAS</v>
          </cell>
          <cell r="G10">
            <v>7000</v>
          </cell>
          <cell r="H10" t="str">
            <v>0490 234 567</v>
          </cell>
          <cell r="I10" t="str">
            <v>jackson.moore@horizonmail.xyz</v>
          </cell>
        </row>
        <row r="11">
          <cell r="A11">
            <v>11210</v>
          </cell>
          <cell r="B11" t="str">
            <v>Taylor</v>
          </cell>
          <cell r="C11" t="str">
            <v>Aiden</v>
          </cell>
          <cell r="D11" t="str">
            <v>777 Outback Drive</v>
          </cell>
          <cell r="E11" t="str">
            <v>Darwin</v>
          </cell>
          <cell r="F11" t="str">
            <v>NT</v>
          </cell>
          <cell r="G11">
            <v>800</v>
          </cell>
          <cell r="H11" t="str">
            <v>0401 678 901</v>
          </cell>
          <cell r="I11" t="str">
            <v>aiden.taylor@auroramail.co</v>
          </cell>
        </row>
        <row r="12">
          <cell r="A12">
            <v>11211</v>
          </cell>
          <cell r="B12" t="str">
            <v>Anderson</v>
          </cell>
          <cell r="C12" t="str">
            <v>Lucas</v>
          </cell>
          <cell r="D12" t="str">
            <v>888 Reef Street</v>
          </cell>
          <cell r="E12" t="str">
            <v>Cairns</v>
          </cell>
          <cell r="F12" t="str">
            <v>QLD</v>
          </cell>
          <cell r="G12">
            <v>4870</v>
          </cell>
          <cell r="H12" t="str">
            <v>0416 789 012</v>
          </cell>
          <cell r="I12" t="str">
            <v>lucas.anderson@stellarwave.org</v>
          </cell>
        </row>
        <row r="13">
          <cell r="A13">
            <v>11212</v>
          </cell>
          <cell r="B13" t="str">
            <v>Thomas</v>
          </cell>
          <cell r="C13" t="str">
            <v>Oliver</v>
          </cell>
          <cell r="D13" t="str">
            <v>999 Coastal Drive</v>
          </cell>
          <cell r="E13" t="str">
            <v>Wollongong</v>
          </cell>
          <cell r="F13" t="str">
            <v>NSW</v>
          </cell>
          <cell r="G13">
            <v>2500</v>
          </cell>
          <cell r="H13" t="str">
            <v>0427 890 123</v>
          </cell>
          <cell r="I13" t="str">
            <v>oliver.thomas@lunarmail.net</v>
          </cell>
        </row>
        <row r="14">
          <cell r="A14">
            <v>11213</v>
          </cell>
          <cell r="B14" t="str">
            <v>Jackson</v>
          </cell>
          <cell r="C14" t="str">
            <v>Amelia</v>
          </cell>
          <cell r="D14" t="str">
            <v>111 Moorabool Street</v>
          </cell>
          <cell r="E14" t="str">
            <v>Geelong</v>
          </cell>
          <cell r="F14" t="str">
            <v>VIC</v>
          </cell>
          <cell r="G14">
            <v>3220</v>
          </cell>
          <cell r="H14" t="str">
            <v>0438 901 234</v>
          </cell>
          <cell r="I14" t="str">
            <v>amelia.jackson@solarismail.xyz</v>
          </cell>
        </row>
        <row r="15">
          <cell r="A15">
            <v>11214</v>
          </cell>
          <cell r="B15" t="str">
            <v>White</v>
          </cell>
          <cell r="C15" t="str">
            <v>Harper</v>
          </cell>
          <cell r="D15" t="str">
            <v>222 Strand Avenue</v>
          </cell>
          <cell r="E15" t="str">
            <v>Townsville</v>
          </cell>
          <cell r="F15" t="str">
            <v>QLD</v>
          </cell>
          <cell r="G15">
            <v>4810</v>
          </cell>
          <cell r="H15" t="str">
            <v>0445 123 456</v>
          </cell>
          <cell r="I15" t="str">
            <v>harper.white@equinoxmail.co</v>
          </cell>
        </row>
        <row r="16">
          <cell r="A16">
            <v>11215</v>
          </cell>
          <cell r="B16" t="str">
            <v>Harris</v>
          </cell>
          <cell r="C16" t="str">
            <v>Evelyn</v>
          </cell>
          <cell r="D16" t="str">
            <v>333 Range Road</v>
          </cell>
          <cell r="E16" t="str">
            <v>Toowoomba</v>
          </cell>
          <cell r="F16" t="str">
            <v>QLD</v>
          </cell>
          <cell r="G16">
            <v>4350</v>
          </cell>
          <cell r="H16" t="str">
            <v>0458 234 567</v>
          </cell>
          <cell r="I16" t="str">
            <v>evelyn.harris@cosmicmail.org</v>
          </cell>
        </row>
        <row r="17">
          <cell r="A17">
            <v>11216</v>
          </cell>
          <cell r="B17" t="str">
            <v>Martin</v>
          </cell>
          <cell r="C17" t="str">
            <v>Abigail</v>
          </cell>
          <cell r="D17" t="str">
            <v>444 Riverbank Place</v>
          </cell>
          <cell r="E17" t="str">
            <v>Launceston</v>
          </cell>
          <cell r="F17" t="str">
            <v>TAS</v>
          </cell>
          <cell r="G17">
            <v>7250</v>
          </cell>
          <cell r="H17" t="str">
            <v>0469 345 678</v>
          </cell>
          <cell r="I17" t="str">
            <v>abigail.martin@nebulaemail.com</v>
          </cell>
        </row>
        <row r="18">
          <cell r="A18">
            <v>11217</v>
          </cell>
          <cell r="B18" t="str">
            <v>Thompson</v>
          </cell>
          <cell r="C18" t="str">
            <v>Emily</v>
          </cell>
          <cell r="D18" t="str">
            <v>555 Sovereign Street</v>
          </cell>
          <cell r="E18" t="str">
            <v>Ballarat</v>
          </cell>
          <cell r="F18" t="str">
            <v>VIC</v>
          </cell>
          <cell r="G18">
            <v>3350</v>
          </cell>
          <cell r="H18" t="str">
            <v>0470 456 789</v>
          </cell>
          <cell r="I18" t="str">
            <v>emily.thompson@novaemail.co</v>
          </cell>
        </row>
        <row r="19">
          <cell r="A19">
            <v>11218</v>
          </cell>
          <cell r="B19" t="str">
            <v>Garcia</v>
          </cell>
          <cell r="C19" t="str">
            <v>Elizabeth</v>
          </cell>
          <cell r="D19" t="str">
            <v>666 Goldfields Road</v>
          </cell>
          <cell r="E19" t="str">
            <v>Bendigo</v>
          </cell>
          <cell r="F19" t="str">
            <v>VIC</v>
          </cell>
          <cell r="G19">
            <v>3550</v>
          </cell>
          <cell r="H19" t="str">
            <v>0481 567 890</v>
          </cell>
          <cell r="I19" t="str">
            <v>elizabeth.garcia@quasarmail.net</v>
          </cell>
        </row>
        <row r="20">
          <cell r="A20">
            <v>11219</v>
          </cell>
          <cell r="B20" t="str">
            <v>Martinez</v>
          </cell>
          <cell r="C20" t="str">
            <v>Michael</v>
          </cell>
          <cell r="D20" t="str">
            <v>777 Sugarland Drive</v>
          </cell>
          <cell r="E20" t="str">
            <v>Mackay</v>
          </cell>
          <cell r="F20" t="str">
            <v>QLD</v>
          </cell>
          <cell r="G20">
            <v>4740</v>
          </cell>
          <cell r="H20" t="str">
            <v>0492 678 901</v>
          </cell>
          <cell r="I20" t="str">
            <v>michael.martinez@cometmail.xyz</v>
          </cell>
        </row>
        <row r="21">
          <cell r="A21">
            <v>11220</v>
          </cell>
          <cell r="B21" t="str">
            <v>Robinson</v>
          </cell>
          <cell r="C21" t="str">
            <v>William</v>
          </cell>
          <cell r="D21" t="str">
            <v>888 Oceanview Terrace</v>
          </cell>
          <cell r="E21" t="str">
            <v>Bunbury</v>
          </cell>
          <cell r="F21" t="str">
            <v>WA</v>
          </cell>
          <cell r="G21">
            <v>6230</v>
          </cell>
          <cell r="H21" t="str">
            <v>0403 789 012</v>
          </cell>
          <cell r="I21" t="str">
            <v>william.robinson@asterismail.co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jackson.moore@horizonmail.xyz" TargetMode="External"/><Relationship Id="rId13" Type="http://schemas.openxmlformats.org/officeDocument/2006/relationships/hyperlink" Target="mailto:evelyn.harris@cosmicmail.org" TargetMode="External"/><Relationship Id="rId18" Type="http://schemas.openxmlformats.org/officeDocument/2006/relationships/hyperlink" Target="mailto:william.robinson@asterismail.com" TargetMode="External"/><Relationship Id="rId3" Type="http://schemas.openxmlformats.org/officeDocument/2006/relationships/hyperlink" Target="mailto:noah.jones@crimsonmail.xyz" TargetMode="External"/><Relationship Id="rId7" Type="http://schemas.openxmlformats.org/officeDocument/2006/relationships/hyperlink" Target="mailto:mia.wilson@cascadeemail.com" TargetMode="External"/><Relationship Id="rId12" Type="http://schemas.openxmlformats.org/officeDocument/2006/relationships/hyperlink" Target="mailto:harper.white@equinoxmail.com" TargetMode="External"/><Relationship Id="rId17" Type="http://schemas.openxmlformats.org/officeDocument/2006/relationships/hyperlink" Target="mailto:michael.martinez@cometmail.xyz" TargetMode="External"/><Relationship Id="rId2" Type="http://schemas.openxmlformats.org/officeDocument/2006/relationships/hyperlink" Target="mailto:liam.johnson@skylineemail.com" TargetMode="External"/><Relationship Id="rId16" Type="http://schemas.openxmlformats.org/officeDocument/2006/relationships/hyperlink" Target="mailto:elizabeth.garcia@quasarmail.net" TargetMode="External"/><Relationship Id="rId1" Type="http://schemas.openxmlformats.org/officeDocument/2006/relationships/hyperlink" Target="mailto:emma.smith@sparkmail.net" TargetMode="External"/><Relationship Id="rId6" Type="http://schemas.openxmlformats.org/officeDocument/2006/relationships/hyperlink" Target="mailto:sophia.miller@orbitalmail.net" TargetMode="External"/><Relationship Id="rId11" Type="http://schemas.openxmlformats.org/officeDocument/2006/relationships/hyperlink" Target="mailto:amelia.jackson@solarismail.xyz" TargetMode="External"/><Relationship Id="rId5" Type="http://schemas.openxmlformats.org/officeDocument/2006/relationships/hyperlink" Target="mailto:isabella.davis@peakmail.org" TargetMode="External"/><Relationship Id="rId15" Type="http://schemas.openxmlformats.org/officeDocument/2006/relationships/hyperlink" Target="mailto:emily.thompson@novaemail.com" TargetMode="External"/><Relationship Id="rId10" Type="http://schemas.openxmlformats.org/officeDocument/2006/relationships/hyperlink" Target="mailto:oliver.thomas@lunarmail.net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mailto:ava.brown@zenithmail.com" TargetMode="External"/><Relationship Id="rId9" Type="http://schemas.openxmlformats.org/officeDocument/2006/relationships/hyperlink" Target="mailto:aiden.taylor@auroramail.com" TargetMode="External"/><Relationship Id="rId14" Type="http://schemas.openxmlformats.org/officeDocument/2006/relationships/hyperlink" Target="mailto:abigail.martin@nebulae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BF9DB-D2F5-4994-9539-7A16C10D10B6}">
  <sheetPr codeName="Sheet6"/>
  <dimension ref="A1:N59"/>
  <sheetViews>
    <sheetView tabSelected="1" workbookViewId="0">
      <selection activeCell="D5" sqref="D5"/>
    </sheetView>
  </sheetViews>
  <sheetFormatPr defaultRowHeight="14.4"/>
  <cols>
    <col min="1" max="1" width="15.33203125" bestFit="1" customWidth="1"/>
    <col min="2" max="2" width="41.33203125" customWidth="1"/>
    <col min="3" max="3" width="11.6640625" bestFit="1" customWidth="1"/>
    <col min="4" max="4" width="21.6640625" customWidth="1"/>
    <col min="6" max="6" width="19.6640625" customWidth="1"/>
    <col min="7" max="7" width="26.33203125" customWidth="1"/>
    <col min="8" max="8" width="17.109375" customWidth="1"/>
    <col min="9" max="9" width="18.33203125" customWidth="1"/>
  </cols>
  <sheetData>
    <row r="1" spans="1:14">
      <c r="A1" s="50" t="s">
        <v>461</v>
      </c>
      <c r="B1" s="50"/>
      <c r="C1" s="50"/>
      <c r="D1" s="50"/>
    </row>
    <row r="2" spans="1:14" ht="18.75" customHeight="1">
      <c r="A2" s="50"/>
      <c r="B2" s="50"/>
      <c r="C2" s="50"/>
      <c r="D2" s="50"/>
      <c r="N2" s="14"/>
    </row>
    <row r="3" spans="1:14">
      <c r="N3" s="14"/>
    </row>
    <row r="4" spans="1:14">
      <c r="A4" t="s">
        <v>248</v>
      </c>
      <c r="B4" t="s">
        <v>249</v>
      </c>
      <c r="N4" s="14"/>
    </row>
    <row r="5" spans="1:14">
      <c r="A5" t="s">
        <v>250</v>
      </c>
      <c r="B5" s="13">
        <v>45189</v>
      </c>
      <c r="N5" s="14"/>
    </row>
    <row r="6" spans="1:14">
      <c r="A6" t="s">
        <v>251</v>
      </c>
      <c r="B6" s="49" t="s">
        <v>314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14"/>
    </row>
    <row r="7" spans="1:14">
      <c r="N7" s="14"/>
    </row>
    <row r="8" spans="1:14" ht="23.4">
      <c r="A8" s="48" t="s">
        <v>253</v>
      </c>
      <c r="B8" s="48"/>
      <c r="C8" s="48"/>
      <c r="D8" s="48"/>
      <c r="F8" s="48" t="s">
        <v>318</v>
      </c>
      <c r="G8" s="48"/>
      <c r="H8" s="48"/>
      <c r="I8" s="48"/>
      <c r="N8" s="14"/>
    </row>
    <row r="9" spans="1:14">
      <c r="A9" s="47" t="s">
        <v>254</v>
      </c>
      <c r="B9" s="47"/>
      <c r="C9" s="47"/>
      <c r="D9" s="47"/>
      <c r="F9" s="15" t="s">
        <v>319</v>
      </c>
      <c r="G9" s="15" t="s">
        <v>256</v>
      </c>
      <c r="H9" s="15" t="s">
        <v>257</v>
      </c>
      <c r="I9" s="15" t="s">
        <v>252</v>
      </c>
      <c r="N9" s="14"/>
    </row>
    <row r="10" spans="1:14" ht="60.6">
      <c r="A10" s="15" t="s">
        <v>255</v>
      </c>
      <c r="B10" s="15" t="s">
        <v>256</v>
      </c>
      <c r="C10" s="15" t="s">
        <v>257</v>
      </c>
      <c r="D10" s="15" t="s">
        <v>252</v>
      </c>
      <c r="F10" s="18" t="s">
        <v>327</v>
      </c>
      <c r="G10" s="17" t="s">
        <v>328</v>
      </c>
      <c r="H10" s="18" t="s">
        <v>380</v>
      </c>
      <c r="N10" s="14"/>
    </row>
    <row r="11" spans="1:14" ht="24.6">
      <c r="A11" s="16" t="s">
        <v>0</v>
      </c>
      <c r="B11" s="16" t="s">
        <v>258</v>
      </c>
      <c r="C11" s="16" t="s">
        <v>259</v>
      </c>
      <c r="D11" s="16"/>
      <c r="F11" s="16" t="s">
        <v>329</v>
      </c>
      <c r="G11" s="17" t="s">
        <v>330</v>
      </c>
      <c r="H11" s="19" t="s">
        <v>379</v>
      </c>
      <c r="N11" s="14"/>
    </row>
    <row r="12" spans="1:14">
      <c r="A12" s="16" t="s">
        <v>2</v>
      </c>
      <c r="B12" s="16" t="s">
        <v>260</v>
      </c>
      <c r="C12" s="16" t="s">
        <v>259</v>
      </c>
      <c r="D12" s="16"/>
      <c r="F12" s="18" t="s">
        <v>331</v>
      </c>
      <c r="G12" s="18" t="s">
        <v>332</v>
      </c>
      <c r="H12" s="19" t="s">
        <v>379</v>
      </c>
      <c r="I12" s="18"/>
      <c r="N12" s="14"/>
    </row>
    <row r="13" spans="1:14">
      <c r="A13" s="16" t="s">
        <v>1</v>
      </c>
      <c r="B13" s="16" t="s">
        <v>261</v>
      </c>
      <c r="C13" s="16" t="s">
        <v>259</v>
      </c>
      <c r="D13" s="16"/>
      <c r="F13" s="18" t="s">
        <v>333</v>
      </c>
      <c r="G13" s="18" t="s">
        <v>334</v>
      </c>
      <c r="H13" s="19" t="s">
        <v>379</v>
      </c>
      <c r="I13" s="18"/>
      <c r="N13" s="14"/>
    </row>
    <row r="14" spans="1:14">
      <c r="A14" s="16" t="s">
        <v>3</v>
      </c>
      <c r="B14" s="16" t="s">
        <v>262</v>
      </c>
      <c r="C14" s="16" t="s">
        <v>259</v>
      </c>
      <c r="D14" s="16"/>
      <c r="F14" s="18" t="s">
        <v>335</v>
      </c>
      <c r="G14" s="18" t="s">
        <v>336</v>
      </c>
      <c r="H14" s="19" t="s">
        <v>379</v>
      </c>
      <c r="I14" s="18"/>
      <c r="N14" s="14"/>
    </row>
    <row r="15" spans="1:14" ht="24">
      <c r="A15" s="16" t="s">
        <v>4</v>
      </c>
      <c r="B15" s="16" t="s">
        <v>263</v>
      </c>
      <c r="C15" s="16" t="s">
        <v>259</v>
      </c>
      <c r="D15" s="16"/>
      <c r="F15" s="18" t="s">
        <v>337</v>
      </c>
      <c r="G15" s="20" t="s">
        <v>338</v>
      </c>
      <c r="H15" s="19" t="s">
        <v>379</v>
      </c>
      <c r="I15" s="18"/>
      <c r="N15" s="14"/>
    </row>
    <row r="16" spans="1:14" ht="24">
      <c r="A16" s="16" t="s">
        <v>5</v>
      </c>
      <c r="B16" s="16" t="s">
        <v>264</v>
      </c>
      <c r="C16" s="16" t="s">
        <v>259</v>
      </c>
      <c r="D16" s="16"/>
      <c r="F16" s="18" t="s">
        <v>339</v>
      </c>
      <c r="G16" s="20" t="s">
        <v>340</v>
      </c>
      <c r="H16" s="19" t="s">
        <v>379</v>
      </c>
      <c r="I16" s="18"/>
      <c r="N16" s="14"/>
    </row>
    <row r="17" spans="1:9" ht="36">
      <c r="A17" s="16" t="s">
        <v>6</v>
      </c>
      <c r="B17" s="16" t="s">
        <v>265</v>
      </c>
      <c r="C17" s="16" t="s">
        <v>259</v>
      </c>
      <c r="D17" s="16"/>
      <c r="F17" s="18" t="s">
        <v>341</v>
      </c>
      <c r="G17" s="20" t="s">
        <v>342</v>
      </c>
      <c r="H17" s="19" t="s">
        <v>379</v>
      </c>
      <c r="I17" s="18"/>
    </row>
    <row r="18" spans="1:9" ht="24">
      <c r="A18" s="16" t="s">
        <v>7</v>
      </c>
      <c r="B18" s="16" t="s">
        <v>266</v>
      </c>
      <c r="C18" s="16" t="s">
        <v>259</v>
      </c>
      <c r="D18" s="16"/>
      <c r="F18" s="18" t="s">
        <v>343</v>
      </c>
      <c r="G18" s="20" t="s">
        <v>344</v>
      </c>
      <c r="H18" s="19" t="s">
        <v>379</v>
      </c>
      <c r="I18" s="18"/>
    </row>
    <row r="19" spans="1:9" ht="36.6">
      <c r="A19" s="16" t="s">
        <v>8</v>
      </c>
      <c r="B19" s="16" t="s">
        <v>267</v>
      </c>
      <c r="C19" s="16" t="s">
        <v>259</v>
      </c>
      <c r="D19" s="17" t="s">
        <v>268</v>
      </c>
      <c r="F19" s="18" t="s">
        <v>345</v>
      </c>
      <c r="G19" s="20" t="s">
        <v>346</v>
      </c>
      <c r="H19" s="19" t="s">
        <v>379</v>
      </c>
      <c r="I19" s="18"/>
    </row>
    <row r="20" spans="1:9" ht="24">
      <c r="F20" s="18" t="s">
        <v>347</v>
      </c>
      <c r="G20" s="20" t="s">
        <v>348</v>
      </c>
      <c r="H20" s="18" t="s">
        <v>381</v>
      </c>
      <c r="I20" s="18"/>
    </row>
    <row r="21" spans="1:9" ht="24">
      <c r="A21" s="48" t="s">
        <v>269</v>
      </c>
      <c r="B21" s="48"/>
      <c r="C21" s="48"/>
      <c r="D21" s="48"/>
      <c r="F21" s="18" t="s">
        <v>382</v>
      </c>
      <c r="G21" s="20" t="s">
        <v>383</v>
      </c>
      <c r="H21" s="18" t="s">
        <v>384</v>
      </c>
      <c r="I21" s="18"/>
    </row>
    <row r="22" spans="1:9" ht="24">
      <c r="A22" s="47" t="s">
        <v>270</v>
      </c>
      <c r="B22" s="47"/>
      <c r="C22" s="47"/>
      <c r="D22" s="47"/>
      <c r="F22" s="18" t="s">
        <v>385</v>
      </c>
      <c r="G22" s="20" t="s">
        <v>386</v>
      </c>
      <c r="H22" s="18" t="s">
        <v>381</v>
      </c>
      <c r="I22" s="18"/>
    </row>
    <row r="23" spans="1:9" ht="24">
      <c r="A23" s="15" t="s">
        <v>255</v>
      </c>
      <c r="B23" s="15" t="s">
        <v>256</v>
      </c>
      <c r="C23" s="15" t="s">
        <v>257</v>
      </c>
      <c r="D23" s="15" t="s">
        <v>252</v>
      </c>
      <c r="F23" s="18" t="s">
        <v>387</v>
      </c>
      <c r="G23" s="20" t="s">
        <v>388</v>
      </c>
      <c r="H23" s="18" t="s">
        <v>379</v>
      </c>
      <c r="I23" s="18"/>
    </row>
    <row r="24" spans="1:9" ht="24">
      <c r="A24" s="16" t="s">
        <v>271</v>
      </c>
      <c r="B24" s="16" t="s">
        <v>272</v>
      </c>
      <c r="C24" s="16" t="s">
        <v>259</v>
      </c>
      <c r="D24" s="16"/>
      <c r="F24" s="18" t="s">
        <v>391</v>
      </c>
      <c r="G24" s="20" t="s">
        <v>392</v>
      </c>
      <c r="H24" s="18" t="s">
        <v>381</v>
      </c>
      <c r="I24" s="18"/>
    </row>
    <row r="25" spans="1:9">
      <c r="A25" s="16" t="s">
        <v>273</v>
      </c>
      <c r="B25" s="16" t="s">
        <v>274</v>
      </c>
      <c r="C25" s="16" t="s">
        <v>259</v>
      </c>
      <c r="D25" s="16"/>
      <c r="F25" s="18" t="s">
        <v>389</v>
      </c>
      <c r="G25" s="20" t="s">
        <v>390</v>
      </c>
      <c r="H25" s="18" t="s">
        <v>381</v>
      </c>
      <c r="I25" s="18"/>
    </row>
    <row r="26" spans="1:9">
      <c r="A26" s="16" t="s">
        <v>275</v>
      </c>
      <c r="B26" s="16" t="s">
        <v>276</v>
      </c>
      <c r="C26" s="16" t="s">
        <v>259</v>
      </c>
      <c r="D26" s="16"/>
      <c r="F26" s="18"/>
      <c r="G26" s="20"/>
      <c r="H26" s="18"/>
      <c r="I26" s="18"/>
    </row>
    <row r="27" spans="1:9" ht="23.4">
      <c r="A27" s="16" t="s">
        <v>277</v>
      </c>
      <c r="B27" s="16" t="s">
        <v>278</v>
      </c>
      <c r="C27" s="16" t="s">
        <v>279</v>
      </c>
      <c r="D27" s="16"/>
      <c r="F27" s="48" t="s">
        <v>349</v>
      </c>
      <c r="G27" s="48"/>
      <c r="H27" s="48"/>
      <c r="I27" s="48"/>
    </row>
    <row r="28" spans="1:9">
      <c r="A28" s="16" t="s">
        <v>280</v>
      </c>
      <c r="B28" s="16" t="s">
        <v>281</v>
      </c>
      <c r="C28" s="16" t="s">
        <v>279</v>
      </c>
      <c r="D28" s="16"/>
      <c r="F28" s="15" t="s">
        <v>319</v>
      </c>
      <c r="G28" s="15" t="s">
        <v>256</v>
      </c>
      <c r="H28" s="15" t="s">
        <v>257</v>
      </c>
      <c r="I28" s="15" t="s">
        <v>252</v>
      </c>
    </row>
    <row r="29" spans="1:9" ht="48.6">
      <c r="A29" s="16" t="s">
        <v>282</v>
      </c>
      <c r="B29" s="16" t="s">
        <v>283</v>
      </c>
      <c r="C29" s="16" t="s">
        <v>279</v>
      </c>
      <c r="D29" s="16"/>
      <c r="F29" s="20" t="s">
        <v>394</v>
      </c>
      <c r="G29" s="17" t="s">
        <v>395</v>
      </c>
      <c r="H29" s="18" t="s">
        <v>379</v>
      </c>
      <c r="I29" s="18"/>
    </row>
    <row r="30" spans="1:9" ht="24">
      <c r="A30" s="16"/>
      <c r="B30" s="16"/>
      <c r="C30" s="16"/>
      <c r="D30" s="16"/>
      <c r="F30" s="18" t="s">
        <v>393</v>
      </c>
      <c r="G30" s="20" t="s">
        <v>350</v>
      </c>
      <c r="H30" s="18" t="s">
        <v>379</v>
      </c>
      <c r="I30" s="18"/>
    </row>
    <row r="31" spans="1:9" ht="24">
      <c r="A31" s="48" t="s">
        <v>284</v>
      </c>
      <c r="B31" s="48"/>
      <c r="C31" s="48"/>
      <c r="D31" s="48"/>
      <c r="F31" s="18" t="s">
        <v>351</v>
      </c>
      <c r="G31" s="20" t="s">
        <v>352</v>
      </c>
      <c r="H31" s="18" t="s">
        <v>381</v>
      </c>
      <c r="I31" s="18"/>
    </row>
    <row r="32" spans="1:9">
      <c r="A32" s="47" t="s">
        <v>285</v>
      </c>
      <c r="B32" s="47"/>
      <c r="C32" s="47"/>
      <c r="D32" s="47"/>
      <c r="F32" s="18"/>
      <c r="G32" s="20"/>
      <c r="H32" s="18"/>
      <c r="I32" s="18"/>
    </row>
    <row r="33" spans="1:9" ht="23.4">
      <c r="A33" s="15" t="s">
        <v>255</v>
      </c>
      <c r="B33" s="15" t="s">
        <v>256</v>
      </c>
      <c r="C33" s="15" t="s">
        <v>257</v>
      </c>
      <c r="D33" s="15" t="s">
        <v>252</v>
      </c>
      <c r="F33" s="48" t="s">
        <v>353</v>
      </c>
      <c r="G33" s="48"/>
      <c r="H33" s="48"/>
      <c r="I33" s="48"/>
    </row>
    <row r="34" spans="1:9">
      <c r="A34" s="16" t="s">
        <v>286</v>
      </c>
      <c r="B34" s="16" t="s">
        <v>287</v>
      </c>
      <c r="C34" s="16" t="s">
        <v>279</v>
      </c>
      <c r="D34" s="16"/>
      <c r="F34" s="15" t="s">
        <v>397</v>
      </c>
      <c r="G34" s="15" t="s">
        <v>256</v>
      </c>
      <c r="H34" s="15" t="s">
        <v>257</v>
      </c>
      <c r="I34" s="15" t="s">
        <v>252</v>
      </c>
    </row>
    <row r="35" spans="1:9">
      <c r="A35" s="16" t="s">
        <v>288</v>
      </c>
      <c r="B35" s="16" t="s">
        <v>289</v>
      </c>
      <c r="C35" s="16" t="s">
        <v>259</v>
      </c>
      <c r="D35" s="16"/>
      <c r="F35" s="20" t="s">
        <v>354</v>
      </c>
      <c r="G35" s="20" t="s">
        <v>355</v>
      </c>
      <c r="H35" s="20" t="s">
        <v>396</v>
      </c>
      <c r="I35" s="20"/>
    </row>
    <row r="36" spans="1:9" ht="36">
      <c r="A36" s="16" t="s">
        <v>290</v>
      </c>
      <c r="B36" s="16" t="s">
        <v>291</v>
      </c>
      <c r="C36" s="16" t="s">
        <v>279</v>
      </c>
      <c r="D36" s="16"/>
      <c r="F36" s="20" t="s">
        <v>356</v>
      </c>
      <c r="G36" s="20" t="s">
        <v>357</v>
      </c>
      <c r="H36" s="20" t="s">
        <v>379</v>
      </c>
      <c r="I36" s="20"/>
    </row>
    <row r="37" spans="1:9" ht="24">
      <c r="A37" s="16"/>
      <c r="B37" s="16"/>
      <c r="C37" s="16"/>
      <c r="D37" s="16"/>
      <c r="F37" s="20" t="s">
        <v>358</v>
      </c>
      <c r="G37" s="20" t="s">
        <v>359</v>
      </c>
      <c r="H37" s="20" t="s">
        <v>379</v>
      </c>
      <c r="I37" s="20"/>
    </row>
    <row r="38" spans="1:9" ht="48">
      <c r="A38" s="48" t="s">
        <v>292</v>
      </c>
      <c r="B38" s="48"/>
      <c r="C38" s="48"/>
      <c r="D38" s="48"/>
      <c r="F38" s="20" t="s">
        <v>360</v>
      </c>
      <c r="G38" s="20" t="s">
        <v>361</v>
      </c>
      <c r="H38" s="20" t="s">
        <v>379</v>
      </c>
      <c r="I38" s="20"/>
    </row>
    <row r="39" spans="1:9" ht="24">
      <c r="A39" s="47" t="s">
        <v>285</v>
      </c>
      <c r="B39" s="47"/>
      <c r="C39" s="47"/>
      <c r="D39" s="47"/>
      <c r="F39" s="20" t="s">
        <v>362</v>
      </c>
      <c r="G39" s="20" t="s">
        <v>363</v>
      </c>
      <c r="H39" s="20" t="s">
        <v>396</v>
      </c>
      <c r="I39" s="20"/>
    </row>
    <row r="40" spans="1:9" ht="24">
      <c r="A40" s="15" t="s">
        <v>255</v>
      </c>
      <c r="B40" s="15" t="s">
        <v>256</v>
      </c>
      <c r="C40" s="15" t="s">
        <v>257</v>
      </c>
      <c r="D40" s="15" t="s">
        <v>252</v>
      </c>
      <c r="F40" s="20" t="s">
        <v>364</v>
      </c>
      <c r="G40" s="20" t="s">
        <v>365</v>
      </c>
      <c r="H40" s="20" t="s">
        <v>380</v>
      </c>
      <c r="I40" s="20"/>
    </row>
    <row r="41" spans="1:9" ht="24">
      <c r="A41" s="16" t="s">
        <v>293</v>
      </c>
      <c r="B41" s="16" t="s">
        <v>294</v>
      </c>
      <c r="C41" s="16" t="s">
        <v>259</v>
      </c>
      <c r="D41" s="16"/>
      <c r="F41" s="20" t="s">
        <v>366</v>
      </c>
      <c r="G41" s="20" t="s">
        <v>367</v>
      </c>
      <c r="H41" s="20" t="s">
        <v>380</v>
      </c>
      <c r="I41" s="20"/>
    </row>
    <row r="42" spans="1:9" ht="24">
      <c r="A42" s="16" t="s">
        <v>0</v>
      </c>
      <c r="B42" s="16" t="s">
        <v>295</v>
      </c>
      <c r="C42" s="16" t="s">
        <v>259</v>
      </c>
      <c r="D42" s="16"/>
      <c r="F42" s="20" t="s">
        <v>368</v>
      </c>
      <c r="G42" s="20" t="s">
        <v>369</v>
      </c>
      <c r="H42" s="20" t="s">
        <v>380</v>
      </c>
      <c r="I42" s="20"/>
    </row>
    <row r="43" spans="1:9">
      <c r="A43" s="16" t="s">
        <v>271</v>
      </c>
      <c r="B43" s="16" t="s">
        <v>272</v>
      </c>
      <c r="C43" s="16" t="s">
        <v>259</v>
      </c>
      <c r="D43" s="16"/>
      <c r="F43" s="20" t="s">
        <v>370</v>
      </c>
      <c r="G43" s="20" t="s">
        <v>371</v>
      </c>
      <c r="H43" s="20" t="s">
        <v>396</v>
      </c>
      <c r="I43" s="20"/>
    </row>
    <row r="44" spans="1:9" ht="24">
      <c r="A44" s="16" t="s">
        <v>296</v>
      </c>
      <c r="B44" s="16" t="s">
        <v>297</v>
      </c>
      <c r="C44" s="16" t="s">
        <v>298</v>
      </c>
      <c r="D44" s="16"/>
      <c r="F44" s="20" t="s">
        <v>372</v>
      </c>
      <c r="G44" s="20" t="s">
        <v>373</v>
      </c>
      <c r="H44" s="20" t="s">
        <v>380</v>
      </c>
      <c r="I44" s="20"/>
    </row>
    <row r="45" spans="1:9" ht="24">
      <c r="A45" s="16" t="s">
        <v>299</v>
      </c>
      <c r="B45" s="16" t="s">
        <v>300</v>
      </c>
      <c r="C45" s="16" t="s">
        <v>298</v>
      </c>
      <c r="D45" s="16"/>
      <c r="F45" s="18" t="s">
        <v>382</v>
      </c>
      <c r="G45" s="20" t="s">
        <v>383</v>
      </c>
      <c r="H45" s="18" t="s">
        <v>384</v>
      </c>
      <c r="I45" s="18"/>
    </row>
    <row r="46" spans="1:9" ht="26.4">
      <c r="A46" s="16" t="s">
        <v>301</v>
      </c>
      <c r="B46" s="16" t="s">
        <v>302</v>
      </c>
      <c r="C46" s="16"/>
      <c r="D46" s="17" t="s">
        <v>303</v>
      </c>
      <c r="F46" s="21"/>
      <c r="G46" s="21"/>
      <c r="H46" s="21"/>
      <c r="I46" s="21"/>
    </row>
    <row r="47" spans="1:9" ht="23.4">
      <c r="A47" s="16" t="s">
        <v>304</v>
      </c>
      <c r="B47" s="16" t="s">
        <v>305</v>
      </c>
      <c r="C47" s="16" t="s">
        <v>279</v>
      </c>
      <c r="D47" s="16"/>
      <c r="F47" s="48" t="s">
        <v>374</v>
      </c>
      <c r="G47" s="48"/>
      <c r="H47" s="48"/>
      <c r="I47" s="48"/>
    </row>
    <row r="48" spans="1:9">
      <c r="A48" s="16" t="s">
        <v>16</v>
      </c>
      <c r="B48" s="16" t="s">
        <v>306</v>
      </c>
      <c r="C48" s="16" t="s">
        <v>259</v>
      </c>
      <c r="D48" s="16"/>
      <c r="F48" s="15" t="s">
        <v>319</v>
      </c>
      <c r="G48" s="15" t="s">
        <v>256</v>
      </c>
      <c r="H48" s="15" t="s">
        <v>257</v>
      </c>
      <c r="I48" s="15" t="s">
        <v>252</v>
      </c>
    </row>
    <row r="49" spans="1:8" ht="24.6">
      <c r="A49" s="16" t="s">
        <v>307</v>
      </c>
      <c r="B49" s="16" t="s">
        <v>308</v>
      </c>
      <c r="C49" s="16" t="s">
        <v>309</v>
      </c>
      <c r="D49" s="16"/>
      <c r="F49" s="16" t="s">
        <v>375</v>
      </c>
      <c r="G49" s="17" t="s">
        <v>377</v>
      </c>
      <c r="H49" s="16" t="s">
        <v>379</v>
      </c>
    </row>
    <row r="50" spans="1:8">
      <c r="F50" s="16" t="s">
        <v>376</v>
      </c>
      <c r="G50" s="17" t="s">
        <v>378</v>
      </c>
      <c r="H50" s="16" t="s">
        <v>379</v>
      </c>
    </row>
    <row r="51" spans="1:8" ht="23.4">
      <c r="A51" s="48" t="s">
        <v>310</v>
      </c>
      <c r="B51" s="48"/>
      <c r="C51" s="48"/>
      <c r="D51" s="48"/>
    </row>
    <row r="52" spans="1:8">
      <c r="A52" s="47" t="s">
        <v>285</v>
      </c>
      <c r="B52" s="47"/>
      <c r="C52" s="47"/>
      <c r="D52" s="47"/>
    </row>
    <row r="53" spans="1:8">
      <c r="A53" s="15" t="s">
        <v>255</v>
      </c>
      <c r="B53" s="15" t="s">
        <v>256</v>
      </c>
      <c r="C53" s="15" t="s">
        <v>257</v>
      </c>
      <c r="D53" s="15" t="s">
        <v>252</v>
      </c>
    </row>
    <row r="54" spans="1:8">
      <c r="A54" s="16" t="s">
        <v>311</v>
      </c>
      <c r="B54" s="16" t="s">
        <v>312</v>
      </c>
      <c r="C54" s="16" t="s">
        <v>313</v>
      </c>
      <c r="D54" s="16"/>
    </row>
    <row r="56" spans="1:8" ht="23.4">
      <c r="A56" s="21"/>
      <c r="B56" s="21"/>
      <c r="C56" s="21"/>
      <c r="D56" s="21"/>
    </row>
    <row r="57" spans="1:8">
      <c r="A57" s="22"/>
      <c r="B57" s="22"/>
      <c r="C57" s="22"/>
      <c r="D57" s="22"/>
    </row>
    <row r="58" spans="1:8">
      <c r="A58" s="15"/>
      <c r="B58" s="15"/>
      <c r="C58" s="15"/>
      <c r="D58" s="15"/>
    </row>
    <row r="59" spans="1:8">
      <c r="A59" s="16"/>
      <c r="B59" s="16"/>
      <c r="C59" s="16"/>
      <c r="D59" s="16"/>
    </row>
  </sheetData>
  <mergeCells count="16">
    <mergeCell ref="A9:D9"/>
    <mergeCell ref="A51:D51"/>
    <mergeCell ref="A52:D52"/>
    <mergeCell ref="B6:M6"/>
    <mergeCell ref="A1:D2"/>
    <mergeCell ref="A8:D8"/>
    <mergeCell ref="F8:I8"/>
    <mergeCell ref="F27:I27"/>
    <mergeCell ref="F33:I33"/>
    <mergeCell ref="F47:I47"/>
    <mergeCell ref="A21:D21"/>
    <mergeCell ref="A22:D22"/>
    <mergeCell ref="A31:D31"/>
    <mergeCell ref="A32:D32"/>
    <mergeCell ref="A38:D38"/>
    <mergeCell ref="A39:D3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4006D-617D-45EE-9FBA-3813677BFC9A}">
  <sheetPr codeName="Sheet5"/>
  <dimension ref="A1"/>
  <sheetViews>
    <sheetView workbookViewId="0">
      <selection activeCell="D40" sqref="D40"/>
    </sheetView>
  </sheetViews>
  <sheetFormatPr defaultRowHeight="14.4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MainMenu">
                <anchor moveWithCells="1" sizeWithCells="1">
                  <from>
                    <xdr:col>0</xdr:col>
                    <xdr:colOff>601980</xdr:colOff>
                    <xdr:row>0</xdr:row>
                    <xdr:rowOff>175260</xdr:rowOff>
                  </from>
                  <to>
                    <xdr:col>12</xdr:col>
                    <xdr:colOff>457200</xdr:colOff>
                    <xdr:row>17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D1634-C7C4-4A34-BED4-D1388AC7FE61}">
  <sheetPr codeName="Sheet7">
    <pageSetUpPr fitToPage="1"/>
  </sheetPr>
  <dimension ref="A1:L30"/>
  <sheetViews>
    <sheetView workbookViewId="0">
      <selection activeCell="H36" sqref="H36"/>
    </sheetView>
  </sheetViews>
  <sheetFormatPr defaultRowHeight="14.4"/>
  <cols>
    <col min="5" max="5" width="10.88671875" bestFit="1" customWidth="1"/>
    <col min="9" max="9" width="20.33203125" bestFit="1" customWidth="1"/>
  </cols>
  <sheetData>
    <row r="1" spans="1:12" ht="28.8">
      <c r="A1" s="25"/>
      <c r="C1" s="53" t="s">
        <v>406</v>
      </c>
      <c r="D1" s="53"/>
      <c r="E1" s="53"/>
      <c r="F1" s="53"/>
      <c r="G1" s="53"/>
      <c r="H1" s="53"/>
      <c r="I1" s="53"/>
      <c r="J1" s="53"/>
      <c r="K1" s="53"/>
      <c r="L1" s="54"/>
    </row>
    <row r="2" spans="1:12" ht="15" customHeight="1">
      <c r="A2" s="26"/>
      <c r="C2" s="53"/>
      <c r="D2" s="53"/>
      <c r="E2" s="53"/>
      <c r="F2" s="53"/>
      <c r="G2" s="53"/>
      <c r="H2" s="53"/>
      <c r="I2" s="53"/>
      <c r="J2" s="53"/>
      <c r="K2" s="53"/>
      <c r="L2" s="54"/>
    </row>
    <row r="3" spans="1:12" ht="15" customHeight="1">
      <c r="A3" s="55" t="s">
        <v>407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7"/>
    </row>
    <row r="4" spans="1:12" ht="15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7"/>
    </row>
    <row r="5" spans="1:12" ht="3" customHeight="1">
      <c r="A5" s="27"/>
      <c r="B5" s="28"/>
      <c r="C5" s="29"/>
      <c r="D5" s="29"/>
      <c r="E5" s="29"/>
      <c r="F5" s="29"/>
      <c r="G5" s="29"/>
      <c r="H5" s="29"/>
      <c r="I5" s="29"/>
      <c r="J5" s="29"/>
      <c r="K5" s="29"/>
      <c r="L5" s="30"/>
    </row>
    <row r="6" spans="1:12">
      <c r="A6" s="26" t="s">
        <v>408</v>
      </c>
      <c r="B6" s="51"/>
      <c r="C6" s="51"/>
      <c r="D6" s="51"/>
      <c r="E6" t="s">
        <v>409</v>
      </c>
      <c r="F6" s="51"/>
      <c r="G6" s="51"/>
      <c r="H6" s="51"/>
      <c r="I6" t="s">
        <v>410</v>
      </c>
      <c r="J6" s="51"/>
      <c r="K6" s="51"/>
      <c r="L6" s="52"/>
    </row>
    <row r="7" spans="1:12">
      <c r="A7" s="60" t="s">
        <v>411</v>
      </c>
      <c r="B7" s="61"/>
      <c r="C7" s="61"/>
      <c r="D7" s="61"/>
      <c r="E7" s="51"/>
      <c r="F7" s="51"/>
      <c r="G7" s="51"/>
      <c r="H7" s="51"/>
      <c r="I7" t="s">
        <v>412</v>
      </c>
      <c r="J7" s="62"/>
      <c r="K7" s="62"/>
      <c r="L7" s="63"/>
    </row>
    <row r="8" spans="1:12">
      <c r="A8" s="60"/>
      <c r="B8" s="61"/>
      <c r="C8" s="61"/>
      <c r="D8" s="61"/>
      <c r="E8" s="51"/>
      <c r="F8" s="51"/>
      <c r="G8" s="51"/>
      <c r="H8" s="51"/>
      <c r="I8" t="s">
        <v>413</v>
      </c>
      <c r="J8" s="62"/>
      <c r="K8" s="62"/>
      <c r="L8" s="63"/>
    </row>
    <row r="9" spans="1:12">
      <c r="A9" s="60"/>
      <c r="B9" s="61"/>
      <c r="C9" s="61"/>
      <c r="D9" s="61"/>
      <c r="E9" s="51"/>
      <c r="F9" s="51"/>
      <c r="G9" s="51"/>
      <c r="H9" s="51"/>
      <c r="I9" t="s">
        <v>414</v>
      </c>
      <c r="J9" s="62">
        <f ca="1">TODAY()</f>
        <v>45865</v>
      </c>
      <c r="K9" s="62"/>
      <c r="L9" s="63"/>
    </row>
    <row r="10" spans="1:12" ht="1.5" customHeight="1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31"/>
    </row>
    <row r="11" spans="1:12">
      <c r="A11" s="58" t="s">
        <v>415</v>
      </c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9"/>
    </row>
    <row r="12" spans="1:12" ht="1.5" customHeight="1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31"/>
    </row>
    <row r="13" spans="1:12">
      <c r="A13" t="s">
        <v>416</v>
      </c>
      <c r="B13" s="51"/>
      <c r="C13" s="51"/>
      <c r="D13" s="51"/>
      <c r="E13" t="s">
        <v>417</v>
      </c>
      <c r="F13" s="51"/>
      <c r="G13" s="51"/>
      <c r="H13" s="51"/>
      <c r="I13" t="s">
        <v>418</v>
      </c>
      <c r="J13" s="51"/>
      <c r="K13" s="51"/>
      <c r="L13" s="52"/>
    </row>
    <row r="14" spans="1:12">
      <c r="A14" t="s">
        <v>419</v>
      </c>
      <c r="B14" s="51"/>
      <c r="C14" s="51"/>
      <c r="D14" s="51"/>
      <c r="I14" t="s">
        <v>420</v>
      </c>
      <c r="J14" s="51"/>
      <c r="K14" s="51"/>
      <c r="L14" s="52"/>
    </row>
    <row r="15" spans="1:12">
      <c r="A15" t="s">
        <v>421</v>
      </c>
      <c r="B15" s="51"/>
      <c r="C15" s="51"/>
      <c r="D15" s="51"/>
      <c r="L15" s="33"/>
    </row>
    <row r="16" spans="1:12">
      <c r="A16" t="s">
        <v>422</v>
      </c>
      <c r="B16" s="51"/>
      <c r="C16" s="51"/>
      <c r="D16" s="51"/>
      <c r="L16" s="33"/>
    </row>
    <row r="17" spans="1:12" ht="1.5" customHeight="1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31"/>
    </row>
    <row r="18" spans="1:12">
      <c r="A18" t="s">
        <v>416</v>
      </c>
      <c r="B18" s="51"/>
      <c r="C18" s="51"/>
      <c r="D18" s="51"/>
      <c r="E18" t="s">
        <v>417</v>
      </c>
      <c r="F18" s="51"/>
      <c r="G18" s="51"/>
      <c r="H18" s="51"/>
      <c r="I18" t="s">
        <v>418</v>
      </c>
      <c r="J18" s="51"/>
      <c r="K18" s="51"/>
      <c r="L18" s="52"/>
    </row>
    <row r="19" spans="1:12">
      <c r="A19" t="s">
        <v>419</v>
      </c>
      <c r="B19" s="51"/>
      <c r="C19" s="51"/>
      <c r="D19" s="51"/>
      <c r="I19" t="s">
        <v>420</v>
      </c>
      <c r="J19" s="51"/>
      <c r="K19" s="51"/>
      <c r="L19" s="52"/>
    </row>
    <row r="20" spans="1:12">
      <c r="A20" t="s">
        <v>421</v>
      </c>
      <c r="B20" s="51"/>
      <c r="C20" s="51"/>
      <c r="D20" s="51"/>
      <c r="L20" s="33"/>
    </row>
    <row r="21" spans="1:12">
      <c r="A21" t="s">
        <v>422</v>
      </c>
      <c r="B21" s="51"/>
      <c r="C21" s="51"/>
      <c r="D21" s="51"/>
      <c r="L21" s="33"/>
    </row>
    <row r="22" spans="1:12" ht="1.5" customHeight="1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31"/>
    </row>
    <row r="23" spans="1:12">
      <c r="A23" t="s">
        <v>416</v>
      </c>
      <c r="B23" s="51"/>
      <c r="C23" s="51"/>
      <c r="D23" s="51"/>
      <c r="E23" t="s">
        <v>417</v>
      </c>
      <c r="F23" s="51"/>
      <c r="G23" s="51"/>
      <c r="H23" s="51"/>
      <c r="I23" t="s">
        <v>418</v>
      </c>
      <c r="J23" s="51"/>
      <c r="K23" s="51"/>
      <c r="L23" s="52"/>
    </row>
    <row r="24" spans="1:12">
      <c r="A24" t="s">
        <v>419</v>
      </c>
      <c r="B24" s="51"/>
      <c r="C24" s="51"/>
      <c r="D24" s="51"/>
      <c r="I24" t="s">
        <v>420</v>
      </c>
      <c r="J24" s="51"/>
      <c r="K24" s="51"/>
      <c r="L24" s="52"/>
    </row>
    <row r="25" spans="1:12">
      <c r="A25" t="s">
        <v>421</v>
      </c>
      <c r="B25" s="51"/>
      <c r="C25" s="51"/>
      <c r="D25" s="51"/>
      <c r="L25" s="33"/>
    </row>
    <row r="26" spans="1:12">
      <c r="A26" t="s">
        <v>422</v>
      </c>
      <c r="B26" s="51"/>
      <c r="C26" s="51"/>
      <c r="D26" s="51"/>
      <c r="L26" s="33"/>
    </row>
    <row r="27" spans="1:12" ht="1.5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31"/>
    </row>
    <row r="28" spans="1:12">
      <c r="I28" t="s">
        <v>423</v>
      </c>
      <c r="J28" s="51"/>
      <c r="K28" s="51"/>
      <c r="L28" s="52"/>
    </row>
    <row r="29" spans="1:12">
      <c r="L29" s="33"/>
    </row>
    <row r="30" spans="1:12" ht="1.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</row>
  </sheetData>
  <mergeCells count="34">
    <mergeCell ref="A11:L11"/>
    <mergeCell ref="A7:A9"/>
    <mergeCell ref="B7:D9"/>
    <mergeCell ref="E7:H9"/>
    <mergeCell ref="J7:L7"/>
    <mergeCell ref="J8:L8"/>
    <mergeCell ref="J9:L9"/>
    <mergeCell ref="C1:L2"/>
    <mergeCell ref="A3:L4"/>
    <mergeCell ref="B6:D6"/>
    <mergeCell ref="F6:H6"/>
    <mergeCell ref="J6:L6"/>
    <mergeCell ref="B13:D13"/>
    <mergeCell ref="F13:H13"/>
    <mergeCell ref="J13:L13"/>
    <mergeCell ref="B18:D18"/>
    <mergeCell ref="F18:H18"/>
    <mergeCell ref="J18:L18"/>
    <mergeCell ref="B15:D15"/>
    <mergeCell ref="B16:D16"/>
    <mergeCell ref="B14:D14"/>
    <mergeCell ref="J14:L14"/>
    <mergeCell ref="B25:D25"/>
    <mergeCell ref="B26:D26"/>
    <mergeCell ref="B19:D19"/>
    <mergeCell ref="J19:L19"/>
    <mergeCell ref="J28:L28"/>
    <mergeCell ref="B20:D20"/>
    <mergeCell ref="B21:D21"/>
    <mergeCell ref="B23:D23"/>
    <mergeCell ref="F23:H23"/>
    <mergeCell ref="J23:L23"/>
    <mergeCell ref="B24:D24"/>
    <mergeCell ref="J24:L24"/>
  </mergeCells>
  <pageMargins left="0.7" right="0.7" top="0.75" bottom="0.75" header="0.3" footer="0.3"/>
  <pageSetup scale="75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24995-BB25-4748-9E65-AB07BAA9BBAC}">
  <sheetPr codeName="Sheet8"/>
  <dimension ref="A1:J15"/>
  <sheetViews>
    <sheetView view="pageLayout" zoomScale="130" zoomScaleNormal="100" zoomScalePageLayoutView="130" workbookViewId="0">
      <selection activeCell="F17" sqref="F17"/>
    </sheetView>
  </sheetViews>
  <sheetFormatPr defaultRowHeight="14.4"/>
  <cols>
    <col min="3" max="3" width="9.109375" customWidth="1"/>
    <col min="9" max="9" width="3.44140625" customWidth="1"/>
    <col min="10" max="10" width="14.88671875" customWidth="1"/>
  </cols>
  <sheetData>
    <row r="1" spans="1:10" ht="15" thickBot="1">
      <c r="A1" s="34"/>
      <c r="B1" s="34"/>
      <c r="C1" s="34"/>
      <c r="D1" s="34"/>
      <c r="E1" s="34"/>
      <c r="F1" s="34"/>
      <c r="G1" s="34"/>
      <c r="H1" s="34"/>
      <c r="I1" s="34"/>
      <c r="J1" s="34"/>
    </row>
    <row r="2" spans="1:10">
      <c r="A2" s="35" t="s">
        <v>424</v>
      </c>
      <c r="E2" s="35" t="s">
        <v>428</v>
      </c>
      <c r="F2" t="s">
        <v>433</v>
      </c>
      <c r="H2" s="32" t="s">
        <v>410</v>
      </c>
      <c r="J2" s="37" t="s">
        <v>432</v>
      </c>
    </row>
    <row r="3" spans="1:10">
      <c r="A3" t="s">
        <v>425</v>
      </c>
      <c r="H3" s="35" t="s">
        <v>429</v>
      </c>
      <c r="J3" s="37" t="s">
        <v>445</v>
      </c>
    </row>
    <row r="4" spans="1:10">
      <c r="A4" t="s">
        <v>426</v>
      </c>
      <c r="H4" s="32" t="s">
        <v>430</v>
      </c>
      <c r="J4" s="42" t="s">
        <v>434</v>
      </c>
    </row>
    <row r="5" spans="1:10">
      <c r="H5" s="32" t="s">
        <v>431</v>
      </c>
      <c r="J5" s="42" t="s">
        <v>434</v>
      </c>
    </row>
    <row r="6" spans="1:10">
      <c r="A6" t="s">
        <v>427</v>
      </c>
      <c r="H6" s="32" t="s">
        <v>456</v>
      </c>
      <c r="J6" s="37" t="s">
        <v>434</v>
      </c>
    </row>
    <row r="7" spans="1:10" ht="15" thickBot="1">
      <c r="A7" s="34"/>
      <c r="B7" s="34"/>
      <c r="C7" s="34"/>
      <c r="D7" s="34"/>
      <c r="E7" s="34"/>
      <c r="F7" s="34"/>
      <c r="G7" s="34"/>
      <c r="H7" s="34"/>
      <c r="I7" s="34"/>
      <c r="J7" s="34"/>
    </row>
    <row r="8" spans="1:10" ht="20.25" customHeight="1" thickBot="1">
      <c r="A8" s="40" t="s">
        <v>415</v>
      </c>
      <c r="B8" s="39"/>
      <c r="C8" s="39"/>
      <c r="D8" s="39"/>
      <c r="E8" s="39"/>
      <c r="F8" s="39"/>
      <c r="G8" s="39"/>
      <c r="H8" s="39"/>
      <c r="I8" s="38"/>
      <c r="J8" s="41" t="s">
        <v>442</v>
      </c>
    </row>
    <row r="9" spans="1:10">
      <c r="A9" s="35" t="s">
        <v>435</v>
      </c>
      <c r="B9" t="s">
        <v>438</v>
      </c>
      <c r="E9" s="36" t="s">
        <v>451</v>
      </c>
      <c r="F9" s="43" t="s">
        <v>455</v>
      </c>
      <c r="H9" s="36"/>
      <c r="I9" s="36" t="s">
        <v>418</v>
      </c>
      <c r="J9" s="37" t="s">
        <v>443</v>
      </c>
    </row>
    <row r="10" spans="1:10">
      <c r="A10" s="35" t="s">
        <v>436</v>
      </c>
      <c r="B10" t="s">
        <v>437</v>
      </c>
      <c r="E10" s="36" t="s">
        <v>452</v>
      </c>
      <c r="F10" s="22" t="s">
        <v>446</v>
      </c>
    </row>
    <row r="11" spans="1:10">
      <c r="A11" s="35" t="s">
        <v>439</v>
      </c>
      <c r="B11" s="8" t="s">
        <v>440</v>
      </c>
      <c r="E11" s="36" t="s">
        <v>453</v>
      </c>
      <c r="F11" s="43" t="s">
        <v>454</v>
      </c>
    </row>
    <row r="12" spans="1:10">
      <c r="A12" s="35" t="s">
        <v>422</v>
      </c>
      <c r="B12" t="s">
        <v>441</v>
      </c>
      <c r="I12" s="36" t="s">
        <v>420</v>
      </c>
      <c r="J12" s="37" t="s">
        <v>444</v>
      </c>
    </row>
    <row r="13" spans="1:10" ht="15" thickBot="1">
      <c r="A13" s="34"/>
      <c r="B13" s="34"/>
      <c r="C13" s="34"/>
      <c r="D13" s="34"/>
      <c r="E13" s="34"/>
      <c r="F13" s="34"/>
      <c r="G13" s="34"/>
      <c r="H13" s="34"/>
      <c r="I13" s="34"/>
      <c r="J13" s="34"/>
    </row>
    <row r="15" spans="1:10">
      <c r="I15" s="36" t="s">
        <v>447</v>
      </c>
    </row>
  </sheetData>
  <pageMargins left="0.7" right="0.7" top="0.75" bottom="0.75" header="0.3" footer="0.3"/>
  <pageSetup orientation="portrait" horizontalDpi="300" verticalDpi="300" r:id="rId1"/>
  <headerFooter>
    <oddHeader>&amp;L&amp;G&amp;R&amp;"-,Bold"&amp;14HIRE AGREEMENT - TAX INVOICE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3520B-A373-46AE-9972-0C5554175AD3}">
  <sheetPr codeName="Sheet9"/>
  <dimension ref="A1:J15"/>
  <sheetViews>
    <sheetView view="pageLayout" zoomScale="130" zoomScaleNormal="100" zoomScalePageLayoutView="130" workbookViewId="0">
      <selection activeCell="F17" sqref="F17"/>
    </sheetView>
  </sheetViews>
  <sheetFormatPr defaultRowHeight="14.4"/>
  <cols>
    <col min="3" max="3" width="9.109375" customWidth="1"/>
    <col min="9" max="9" width="2.6640625" customWidth="1"/>
    <col min="10" max="10" width="15.6640625" customWidth="1"/>
  </cols>
  <sheetData>
    <row r="1" spans="1:10" ht="15" thickBot="1">
      <c r="A1" s="34"/>
      <c r="B1" s="34"/>
      <c r="C1" s="34"/>
      <c r="D1" s="34"/>
      <c r="E1" s="34"/>
      <c r="F1" s="34"/>
      <c r="G1" s="34"/>
      <c r="H1" s="34"/>
      <c r="I1" s="34"/>
      <c r="J1" s="34"/>
    </row>
    <row r="2" spans="1:10">
      <c r="A2" s="35" t="s">
        <v>424</v>
      </c>
      <c r="E2" s="35" t="s">
        <v>428</v>
      </c>
      <c r="F2" t="s">
        <v>91</v>
      </c>
      <c r="H2" s="32" t="s">
        <v>410</v>
      </c>
      <c r="J2" s="37" t="s">
        <v>449</v>
      </c>
    </row>
    <row r="3" spans="1:10">
      <c r="A3" t="s">
        <v>457</v>
      </c>
      <c r="H3" s="35" t="s">
        <v>429</v>
      </c>
      <c r="J3" s="37" t="s">
        <v>22</v>
      </c>
    </row>
    <row r="4" spans="1:10">
      <c r="A4" t="s">
        <v>59</v>
      </c>
      <c r="H4" s="32" t="s">
        <v>430</v>
      </c>
      <c r="J4" s="42">
        <v>44605.583333333336</v>
      </c>
    </row>
    <row r="5" spans="1:10">
      <c r="H5" s="32" t="s">
        <v>431</v>
      </c>
      <c r="J5" s="42">
        <v>44617.541666666664</v>
      </c>
    </row>
    <row r="6" spans="1:10">
      <c r="A6" t="s">
        <v>448</v>
      </c>
      <c r="H6" s="32" t="s">
        <v>456</v>
      </c>
      <c r="J6" s="46">
        <v>45209</v>
      </c>
    </row>
    <row r="7" spans="1:10" ht="15" thickBot="1">
      <c r="A7" s="34"/>
      <c r="B7" s="34"/>
      <c r="C7" s="34"/>
      <c r="D7" s="34"/>
      <c r="E7" s="34"/>
      <c r="F7" s="34"/>
      <c r="G7" s="34"/>
      <c r="H7" s="34"/>
      <c r="I7" s="34"/>
      <c r="J7" s="34"/>
    </row>
    <row r="8" spans="1:10" ht="20.25" customHeight="1" thickBot="1">
      <c r="A8" s="40" t="s">
        <v>415</v>
      </c>
      <c r="B8" s="39"/>
      <c r="C8" s="39"/>
      <c r="D8" s="39"/>
      <c r="E8" s="39"/>
      <c r="F8" s="39"/>
      <c r="G8" s="39"/>
      <c r="H8" s="39"/>
      <c r="I8" s="38"/>
      <c r="J8" s="41" t="s">
        <v>442</v>
      </c>
    </row>
    <row r="9" spans="1:10">
      <c r="A9" s="35" t="s">
        <v>435</v>
      </c>
      <c r="B9" t="s">
        <v>129</v>
      </c>
      <c r="E9" s="36" t="s">
        <v>451</v>
      </c>
      <c r="F9" s="43" t="s">
        <v>179</v>
      </c>
      <c r="H9" s="36"/>
      <c r="I9" s="36" t="s">
        <v>418</v>
      </c>
      <c r="J9" s="44">
        <v>776.25</v>
      </c>
    </row>
    <row r="10" spans="1:10">
      <c r="A10" s="35" t="s">
        <v>436</v>
      </c>
      <c r="B10" t="s">
        <v>133</v>
      </c>
      <c r="E10" s="36" t="s">
        <v>452</v>
      </c>
      <c r="F10" s="22">
        <v>13</v>
      </c>
    </row>
    <row r="11" spans="1:10">
      <c r="A11" s="35" t="s">
        <v>439</v>
      </c>
      <c r="B11" s="8">
        <v>2018</v>
      </c>
      <c r="E11" s="36" t="s">
        <v>453</v>
      </c>
      <c r="F11" s="43" t="s">
        <v>450</v>
      </c>
    </row>
    <row r="12" spans="1:10">
      <c r="A12" s="35" t="s">
        <v>422</v>
      </c>
      <c r="B12" t="s">
        <v>458</v>
      </c>
      <c r="I12" s="36" t="s">
        <v>420</v>
      </c>
      <c r="J12" s="44">
        <v>10241.25</v>
      </c>
    </row>
    <row r="13" spans="1:10" ht="15" thickBot="1">
      <c r="A13" s="34"/>
      <c r="B13" s="34"/>
      <c r="C13" s="34"/>
      <c r="D13" s="34"/>
      <c r="E13" s="34"/>
      <c r="F13" s="34"/>
      <c r="G13" s="34"/>
      <c r="H13" s="34"/>
      <c r="I13" s="34"/>
      <c r="J13" s="34"/>
    </row>
    <row r="15" spans="1:10">
      <c r="I15" s="36" t="s">
        <v>447</v>
      </c>
      <c r="J15" s="45">
        <v>10241.25</v>
      </c>
    </row>
  </sheetData>
  <pageMargins left="0.7" right="0.7" top="0.75" bottom="0.75" header="0.3" footer="0.3"/>
  <pageSetup orientation="portrait" horizontalDpi="300" verticalDpi="300" r:id="rId1"/>
  <headerFooter>
    <oddHeader>&amp;L&amp;G&amp;R&amp;"-,Bold"&amp;14HIRE AGREEMENT - TAX INVOICE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"/>
  <sheetViews>
    <sheetView workbookViewId="0">
      <selection activeCell="A24" sqref="A24"/>
    </sheetView>
  </sheetViews>
  <sheetFormatPr defaultRowHeight="14.4"/>
  <cols>
    <col min="1" max="1" width="11.5546875" bestFit="1" customWidth="1"/>
    <col min="2" max="2" width="9.88671875" bestFit="1" customWidth="1"/>
    <col min="3" max="3" width="12.44140625" bestFit="1" customWidth="1"/>
    <col min="4" max="4" width="29.44140625" bestFit="1" customWidth="1"/>
    <col min="5" max="5" width="17.5546875" bestFit="1" customWidth="1"/>
    <col min="6" max="6" width="6" bestFit="1" customWidth="1"/>
    <col min="7" max="7" width="8.88671875" style="1"/>
    <col min="8" max="8" width="12.88671875" bestFit="1" customWidth="1"/>
    <col min="9" max="9" width="37.44140625" bestFit="1" customWidth="1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9" t="s">
        <v>6</v>
      </c>
      <c r="H1" s="6" t="s">
        <v>7</v>
      </c>
      <c r="I1" s="6" t="s">
        <v>8</v>
      </c>
    </row>
    <row r="2" spans="1:9">
      <c r="A2">
        <v>11201</v>
      </c>
      <c r="B2" t="s">
        <v>18</v>
      </c>
      <c r="C2" t="s">
        <v>34</v>
      </c>
      <c r="D2" t="s">
        <v>50</v>
      </c>
      <c r="E2" t="s">
        <v>51</v>
      </c>
      <c r="F2" t="s">
        <v>10</v>
      </c>
      <c r="G2">
        <v>2000</v>
      </c>
      <c r="H2" t="s">
        <v>87</v>
      </c>
      <c r="I2" s="10" t="s">
        <v>104</v>
      </c>
    </row>
    <row r="3" spans="1:9">
      <c r="A3">
        <v>11202</v>
      </c>
      <c r="B3" t="s">
        <v>321</v>
      </c>
      <c r="C3" t="s">
        <v>320</v>
      </c>
      <c r="D3" t="s">
        <v>52</v>
      </c>
      <c r="E3" t="s">
        <v>315</v>
      </c>
      <c r="F3" t="s">
        <v>316</v>
      </c>
      <c r="G3">
        <v>3000</v>
      </c>
      <c r="H3" t="s">
        <v>317</v>
      </c>
      <c r="I3" s="10" t="s">
        <v>105</v>
      </c>
    </row>
    <row r="4" spans="1:9">
      <c r="A4">
        <v>11204</v>
      </c>
      <c r="B4" t="s">
        <v>19</v>
      </c>
      <c r="C4" t="s">
        <v>35</v>
      </c>
      <c r="D4" t="s">
        <v>53</v>
      </c>
      <c r="E4" t="s">
        <v>54</v>
      </c>
      <c r="F4" t="s">
        <v>12</v>
      </c>
      <c r="G4">
        <v>6000</v>
      </c>
      <c r="H4" t="s">
        <v>88</v>
      </c>
      <c r="I4" s="10" t="s">
        <v>106</v>
      </c>
    </row>
    <row r="5" spans="1:9">
      <c r="A5">
        <v>11205</v>
      </c>
      <c r="B5" t="s">
        <v>20</v>
      </c>
      <c r="C5" t="s">
        <v>36</v>
      </c>
      <c r="D5" t="s">
        <v>55</v>
      </c>
      <c r="E5" t="s">
        <v>56</v>
      </c>
      <c r="F5" t="s">
        <v>14</v>
      </c>
      <c r="G5">
        <v>5000</v>
      </c>
      <c r="H5" t="s">
        <v>89</v>
      </c>
      <c r="I5" s="10" t="s">
        <v>322</v>
      </c>
    </row>
    <row r="6" spans="1:9">
      <c r="A6">
        <v>11206</v>
      </c>
      <c r="B6" t="s">
        <v>21</v>
      </c>
      <c r="C6" t="s">
        <v>37</v>
      </c>
      <c r="D6" t="s">
        <v>57</v>
      </c>
      <c r="E6" t="s">
        <v>58</v>
      </c>
      <c r="F6" t="s">
        <v>11</v>
      </c>
      <c r="G6">
        <v>4217</v>
      </c>
      <c r="H6" t="s">
        <v>90</v>
      </c>
      <c r="I6" s="10" t="s">
        <v>107</v>
      </c>
    </row>
    <row r="7" spans="1:9">
      <c r="A7">
        <v>11207</v>
      </c>
      <c r="B7" t="s">
        <v>22</v>
      </c>
      <c r="C7" t="s">
        <v>38</v>
      </c>
      <c r="D7" t="s">
        <v>59</v>
      </c>
      <c r="E7" t="s">
        <v>60</v>
      </c>
      <c r="F7" t="s">
        <v>61</v>
      </c>
      <c r="G7">
        <v>2600</v>
      </c>
      <c r="H7" t="s">
        <v>91</v>
      </c>
      <c r="I7" s="10" t="s">
        <v>108</v>
      </c>
    </row>
    <row r="8" spans="1:9">
      <c r="A8">
        <v>11208</v>
      </c>
      <c r="B8" t="s">
        <v>23</v>
      </c>
      <c r="C8" t="s">
        <v>39</v>
      </c>
      <c r="D8" t="s">
        <v>62</v>
      </c>
      <c r="E8" t="s">
        <v>63</v>
      </c>
      <c r="F8" t="s">
        <v>10</v>
      </c>
      <c r="G8">
        <v>2300</v>
      </c>
      <c r="H8" t="s">
        <v>92</v>
      </c>
      <c r="I8" s="10" t="s">
        <v>109</v>
      </c>
    </row>
    <row r="9" spans="1:9">
      <c r="A9">
        <v>11209</v>
      </c>
      <c r="B9" t="s">
        <v>24</v>
      </c>
      <c r="C9" t="s">
        <v>27</v>
      </c>
      <c r="D9" t="s">
        <v>64</v>
      </c>
      <c r="E9" t="s">
        <v>65</v>
      </c>
      <c r="F9" t="s">
        <v>13</v>
      </c>
      <c r="G9">
        <v>7000</v>
      </c>
      <c r="H9" t="s">
        <v>93</v>
      </c>
      <c r="I9" s="10" t="s">
        <v>110</v>
      </c>
    </row>
    <row r="10" spans="1:9">
      <c r="A10">
        <v>11210</v>
      </c>
      <c r="B10" t="s">
        <v>25</v>
      </c>
      <c r="C10" t="s">
        <v>40</v>
      </c>
      <c r="D10" t="s">
        <v>66</v>
      </c>
      <c r="E10" t="s">
        <v>67</v>
      </c>
      <c r="F10" t="s">
        <v>68</v>
      </c>
      <c r="G10">
        <v>800</v>
      </c>
      <c r="H10" t="s">
        <v>94</v>
      </c>
      <c r="I10" s="10" t="s">
        <v>323</v>
      </c>
    </row>
    <row r="11" spans="1:9">
      <c r="A11">
        <v>11212</v>
      </c>
      <c r="B11" t="s">
        <v>26</v>
      </c>
      <c r="C11" t="s">
        <v>41</v>
      </c>
      <c r="D11" t="s">
        <v>69</v>
      </c>
      <c r="E11" t="s">
        <v>70</v>
      </c>
      <c r="F11" t="s">
        <v>10</v>
      </c>
      <c r="G11">
        <v>2500</v>
      </c>
      <c r="H11" t="s">
        <v>95</v>
      </c>
      <c r="I11" s="10" t="s">
        <v>111</v>
      </c>
    </row>
    <row r="12" spans="1:9">
      <c r="A12">
        <v>11213</v>
      </c>
      <c r="B12" t="s">
        <v>27</v>
      </c>
      <c r="C12" t="s">
        <v>42</v>
      </c>
      <c r="D12" t="s">
        <v>71</v>
      </c>
      <c r="E12" t="s">
        <v>72</v>
      </c>
      <c r="F12" t="s">
        <v>9</v>
      </c>
      <c r="G12">
        <v>3220</v>
      </c>
      <c r="H12" t="s">
        <v>96</v>
      </c>
      <c r="I12" s="10" t="s">
        <v>112</v>
      </c>
    </row>
    <row r="13" spans="1:9">
      <c r="A13">
        <v>11214</v>
      </c>
      <c r="B13" t="s">
        <v>15</v>
      </c>
      <c r="C13" t="s">
        <v>43</v>
      </c>
      <c r="D13" t="s">
        <v>73</v>
      </c>
      <c r="E13" t="s">
        <v>74</v>
      </c>
      <c r="F13" t="s">
        <v>11</v>
      </c>
      <c r="G13">
        <v>4810</v>
      </c>
      <c r="H13" t="s">
        <v>97</v>
      </c>
      <c r="I13" s="10" t="s">
        <v>324</v>
      </c>
    </row>
    <row r="14" spans="1:9">
      <c r="A14">
        <v>11215</v>
      </c>
      <c r="B14" t="s">
        <v>28</v>
      </c>
      <c r="C14" t="s">
        <v>44</v>
      </c>
      <c r="D14" t="s">
        <v>75</v>
      </c>
      <c r="E14" t="s">
        <v>76</v>
      </c>
      <c r="F14" t="s">
        <v>11</v>
      </c>
      <c r="G14">
        <v>4350</v>
      </c>
      <c r="H14" t="s">
        <v>98</v>
      </c>
      <c r="I14" s="10" t="s">
        <v>113</v>
      </c>
    </row>
    <row r="15" spans="1:9">
      <c r="A15">
        <v>11216</v>
      </c>
      <c r="B15" t="s">
        <v>29</v>
      </c>
      <c r="C15" t="s">
        <v>45</v>
      </c>
      <c r="D15" t="s">
        <v>77</v>
      </c>
      <c r="E15" t="s">
        <v>78</v>
      </c>
      <c r="F15" t="s">
        <v>13</v>
      </c>
      <c r="G15">
        <v>7250</v>
      </c>
      <c r="H15" t="s">
        <v>99</v>
      </c>
      <c r="I15" s="10" t="s">
        <v>114</v>
      </c>
    </row>
    <row r="16" spans="1:9">
      <c r="A16">
        <v>11217</v>
      </c>
      <c r="B16" t="s">
        <v>30</v>
      </c>
      <c r="C16" t="s">
        <v>46</v>
      </c>
      <c r="D16" t="s">
        <v>79</v>
      </c>
      <c r="E16" t="s">
        <v>80</v>
      </c>
      <c r="F16" t="s">
        <v>9</v>
      </c>
      <c r="G16">
        <v>3350</v>
      </c>
      <c r="H16" t="s">
        <v>100</v>
      </c>
      <c r="I16" s="10" t="s">
        <v>325</v>
      </c>
    </row>
    <row r="17" spans="1:9">
      <c r="A17">
        <v>11218</v>
      </c>
      <c r="B17" t="s">
        <v>31</v>
      </c>
      <c r="C17" t="s">
        <v>47</v>
      </c>
      <c r="D17" t="s">
        <v>81</v>
      </c>
      <c r="E17" t="s">
        <v>82</v>
      </c>
      <c r="F17" t="s">
        <v>9</v>
      </c>
      <c r="G17">
        <v>3550</v>
      </c>
      <c r="H17" t="s">
        <v>101</v>
      </c>
      <c r="I17" s="10" t="s">
        <v>115</v>
      </c>
    </row>
    <row r="18" spans="1:9">
      <c r="A18">
        <v>11219</v>
      </c>
      <c r="B18" t="s">
        <v>32</v>
      </c>
      <c r="C18" t="s">
        <v>48</v>
      </c>
      <c r="D18" t="s">
        <v>83</v>
      </c>
      <c r="E18" t="s">
        <v>84</v>
      </c>
      <c r="F18" t="s">
        <v>11</v>
      </c>
      <c r="G18">
        <v>4740</v>
      </c>
      <c r="H18" t="s">
        <v>102</v>
      </c>
      <c r="I18" s="10" t="s">
        <v>116</v>
      </c>
    </row>
    <row r="19" spans="1:9">
      <c r="A19">
        <v>11220</v>
      </c>
      <c r="B19" t="s">
        <v>33</v>
      </c>
      <c r="C19" t="s">
        <v>49</v>
      </c>
      <c r="D19" t="s">
        <v>85</v>
      </c>
      <c r="E19" t="s">
        <v>86</v>
      </c>
      <c r="F19" t="s">
        <v>12</v>
      </c>
      <c r="G19">
        <v>6230</v>
      </c>
      <c r="H19" t="s">
        <v>103</v>
      </c>
      <c r="I19" s="10" t="s">
        <v>326</v>
      </c>
    </row>
    <row r="21" spans="1:9">
      <c r="A21">
        <v>12000</v>
      </c>
      <c r="B21" t="s">
        <v>399</v>
      </c>
      <c r="C21" t="s">
        <v>400</v>
      </c>
      <c r="D21" t="s">
        <v>401</v>
      </c>
      <c r="E21" t="s">
        <v>398</v>
      </c>
      <c r="F21" t="s">
        <v>402</v>
      </c>
      <c r="G21" s="1" t="s">
        <v>403</v>
      </c>
      <c r="H21" t="s">
        <v>404</v>
      </c>
      <c r="I21" s="23" t="s">
        <v>405</v>
      </c>
    </row>
    <row r="22" spans="1:9">
      <c r="I22" s="23"/>
    </row>
  </sheetData>
  <phoneticPr fontId="1" type="noConversion"/>
  <hyperlinks>
    <hyperlink ref="I2" r:id="rId1" display="mailto:emma.smith@sparkmail.net" xr:uid="{A6E11ADE-C7E8-4951-B5B1-BE0292DB27C8}"/>
    <hyperlink ref="I3" r:id="rId2" display="mailto:liam.johnson@skylineemail.com" xr:uid="{27903692-3598-448D-A706-041F8F75AD3E}"/>
    <hyperlink ref="I4" r:id="rId3" display="mailto:noah.jones@crimsonmail.xyz" xr:uid="{18098780-F6DC-4973-A929-4C5C2AFEC92A}"/>
    <hyperlink ref="I5" r:id="rId4" xr:uid="{1604D7A6-C593-4826-9054-2A90FA5AA78E}"/>
    <hyperlink ref="I6" r:id="rId5" display="mailto:isabella.davis@peakmail.org" xr:uid="{BDA5D49B-A044-4714-976B-7EB20C0F4B39}"/>
    <hyperlink ref="I7" r:id="rId6" display="mailto:sophia.miller@orbitalmail.net" xr:uid="{099759AD-F873-4EF0-B513-DFD6E2063A0B}"/>
    <hyperlink ref="I8" r:id="rId7" display="mailto:mia.wilson@cascadeemail.com" xr:uid="{5A4132FE-8913-4BBB-8D2C-1BC45358B943}"/>
    <hyperlink ref="I9" r:id="rId8" display="mailto:jackson.moore@horizonmail.xyz" xr:uid="{503021DC-0BBB-4F07-B7FB-00A3096E8653}"/>
    <hyperlink ref="I10" r:id="rId9" xr:uid="{457B1E9D-5882-4467-B76C-E37A54606FCA}"/>
    <hyperlink ref="I11" r:id="rId10" display="mailto:oliver.thomas@lunarmail.net" xr:uid="{B2C660F7-E822-4EA0-8704-AFEE79EE5F44}"/>
    <hyperlink ref="I12" r:id="rId11" display="mailto:amelia.jackson@solarismail.xyz" xr:uid="{9CBFC721-9A8F-4C92-96D5-0DCDC4B83DD6}"/>
    <hyperlink ref="I13" r:id="rId12" xr:uid="{035514DE-435D-4604-B4E2-A3BD757E279A}"/>
    <hyperlink ref="I14" r:id="rId13" display="mailto:evelyn.harris@cosmicmail.org" xr:uid="{5031C165-3A47-4BE3-8710-A3DAE7D637E9}"/>
    <hyperlink ref="I15" r:id="rId14" display="mailto:abigail.martin@nebulaemail.com" xr:uid="{49A7D3B1-DA47-4A01-846B-10B01362FD20}"/>
    <hyperlink ref="I16" r:id="rId15" xr:uid="{59962DC7-7FA8-4FD2-9226-DCB34A8EFB7B}"/>
    <hyperlink ref="I17" r:id="rId16" display="mailto:elizabeth.garcia@quasarmail.net" xr:uid="{704B1CC8-D506-4CE2-8AAC-01CC611B2E13}"/>
    <hyperlink ref="I18" r:id="rId17" display="mailto:michael.martinez@cometmail.xyz" xr:uid="{2E3AB98E-B9C0-4450-A1FE-ABEAD5D94307}"/>
    <hyperlink ref="I19" r:id="rId18" xr:uid="{74507988-75FC-493B-BA6E-9C8C4AFBB324}"/>
  </hyperlinks>
  <pageMargins left="0.7" right="0.7" top="0.75" bottom="0.75" header="0.3" footer="0.3"/>
  <pageSetup paperSize="9" orientation="portrait" horizontalDpi="0" verticalDpi="0" r:id="rId1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FAEF-7D10-4AC0-A9A7-C659CC0BB421}">
  <sheetPr codeName="Sheet2"/>
  <dimension ref="A1:F67"/>
  <sheetViews>
    <sheetView workbookViewId="0">
      <selection activeCell="E39" sqref="E39"/>
    </sheetView>
  </sheetViews>
  <sheetFormatPr defaultRowHeight="14.4"/>
  <cols>
    <col min="1" max="1" width="16.109375" bestFit="1" customWidth="1"/>
    <col min="2" max="2" width="21.109375" bestFit="1" customWidth="1"/>
    <col min="3" max="3" width="19.44140625" bestFit="1" customWidth="1"/>
    <col min="4" max="4" width="9.109375" bestFit="1" customWidth="1"/>
    <col min="5" max="5" width="21.109375" bestFit="1" customWidth="1"/>
    <col min="6" max="6" width="17.88671875" bestFit="1" customWidth="1"/>
  </cols>
  <sheetData>
    <row r="1" spans="1:6">
      <c r="A1" s="6" t="s">
        <v>224</v>
      </c>
      <c r="B1" s="6" t="s">
        <v>117</v>
      </c>
      <c r="C1" s="6" t="s">
        <v>118</v>
      </c>
      <c r="D1" s="6" t="s">
        <v>119</v>
      </c>
      <c r="E1" s="6" t="s">
        <v>120</v>
      </c>
      <c r="F1" s="6" t="s">
        <v>121</v>
      </c>
    </row>
    <row r="2" spans="1:6">
      <c r="A2" t="s">
        <v>159</v>
      </c>
      <c r="B2" t="s">
        <v>122</v>
      </c>
      <c r="C2" t="s">
        <v>123</v>
      </c>
      <c r="D2">
        <v>2021</v>
      </c>
      <c r="E2" s="7">
        <v>618.75</v>
      </c>
      <c r="F2" s="7">
        <v>123750</v>
      </c>
    </row>
    <row r="3" spans="1:6">
      <c r="A3" t="s">
        <v>159</v>
      </c>
      <c r="B3" t="s">
        <v>122</v>
      </c>
      <c r="C3" t="s">
        <v>123</v>
      </c>
      <c r="D3">
        <v>2017</v>
      </c>
      <c r="E3" s="7">
        <v>450</v>
      </c>
      <c r="F3" s="7">
        <v>90000</v>
      </c>
    </row>
    <row r="4" spans="1:6">
      <c r="A4" t="s">
        <v>160</v>
      </c>
      <c r="B4" t="s">
        <v>122</v>
      </c>
      <c r="C4" t="s">
        <v>123</v>
      </c>
      <c r="D4">
        <v>2019</v>
      </c>
      <c r="E4" s="7">
        <v>528.75</v>
      </c>
      <c r="F4" s="7">
        <v>105750</v>
      </c>
    </row>
    <row r="5" spans="1:6">
      <c r="A5" t="s">
        <v>161</v>
      </c>
      <c r="B5" t="s">
        <v>122</v>
      </c>
      <c r="C5" t="s">
        <v>124</v>
      </c>
      <c r="D5">
        <v>2020</v>
      </c>
      <c r="E5" s="7">
        <v>562.5</v>
      </c>
      <c r="F5" s="7">
        <v>112500</v>
      </c>
    </row>
    <row r="6" spans="1:6">
      <c r="A6" t="s">
        <v>162</v>
      </c>
      <c r="B6" t="s">
        <v>122</v>
      </c>
      <c r="C6" t="s">
        <v>124</v>
      </c>
      <c r="D6">
        <v>2021</v>
      </c>
      <c r="E6" s="7">
        <v>585</v>
      </c>
      <c r="F6" s="7">
        <v>117000</v>
      </c>
    </row>
    <row r="7" spans="1:6">
      <c r="A7" t="s">
        <v>163</v>
      </c>
      <c r="B7" t="s">
        <v>125</v>
      </c>
      <c r="C7" t="s">
        <v>126</v>
      </c>
      <c r="D7">
        <v>2019</v>
      </c>
      <c r="E7" s="7">
        <v>528.75</v>
      </c>
      <c r="F7" s="7">
        <v>105750</v>
      </c>
    </row>
    <row r="8" spans="1:6">
      <c r="A8" t="s">
        <v>164</v>
      </c>
      <c r="B8" t="s">
        <v>125</v>
      </c>
      <c r="C8" t="s">
        <v>126</v>
      </c>
      <c r="D8">
        <v>2020</v>
      </c>
      <c r="E8" s="7">
        <v>562.5</v>
      </c>
      <c r="F8" s="7">
        <v>112500</v>
      </c>
    </row>
    <row r="9" spans="1:6">
      <c r="A9" t="s">
        <v>165</v>
      </c>
      <c r="B9" t="s">
        <v>125</v>
      </c>
      <c r="C9" t="s">
        <v>127</v>
      </c>
      <c r="D9">
        <v>2018</v>
      </c>
      <c r="E9" s="7">
        <v>506.25</v>
      </c>
      <c r="F9" s="7">
        <v>101250</v>
      </c>
    </row>
    <row r="10" spans="1:6">
      <c r="A10" t="s">
        <v>166</v>
      </c>
      <c r="B10" t="s">
        <v>125</v>
      </c>
      <c r="C10" t="s">
        <v>127</v>
      </c>
      <c r="D10">
        <v>2019</v>
      </c>
      <c r="E10" s="7">
        <v>540</v>
      </c>
      <c r="F10" s="7">
        <v>108000</v>
      </c>
    </row>
    <row r="11" spans="1:6">
      <c r="A11" t="s">
        <v>167</v>
      </c>
      <c r="B11" t="s">
        <v>125</v>
      </c>
      <c r="C11" t="s">
        <v>128</v>
      </c>
      <c r="D11">
        <v>2018</v>
      </c>
      <c r="E11" s="7">
        <v>506.25</v>
      </c>
      <c r="F11" s="7">
        <v>101250</v>
      </c>
    </row>
    <row r="12" spans="1:6">
      <c r="A12" t="s">
        <v>168</v>
      </c>
      <c r="B12" t="s">
        <v>125</v>
      </c>
      <c r="C12" t="s">
        <v>128</v>
      </c>
      <c r="D12">
        <v>2017</v>
      </c>
      <c r="E12" s="7">
        <v>472.5</v>
      </c>
      <c r="F12" s="7">
        <v>94500</v>
      </c>
    </row>
    <row r="13" spans="1:6">
      <c r="A13" t="s">
        <v>169</v>
      </c>
      <c r="B13" t="s">
        <v>125</v>
      </c>
      <c r="C13" t="s">
        <v>127</v>
      </c>
      <c r="D13">
        <v>2020</v>
      </c>
      <c r="E13" s="7">
        <v>562.5</v>
      </c>
      <c r="F13" s="7">
        <v>112500</v>
      </c>
    </row>
    <row r="14" spans="1:6">
      <c r="A14" t="s">
        <v>170</v>
      </c>
      <c r="B14" t="s">
        <v>125</v>
      </c>
      <c r="C14" t="s">
        <v>126</v>
      </c>
      <c r="D14">
        <v>2021</v>
      </c>
      <c r="E14" s="7">
        <v>585</v>
      </c>
      <c r="F14" s="7">
        <v>117000</v>
      </c>
    </row>
    <row r="15" spans="1:6">
      <c r="A15" t="s">
        <v>171</v>
      </c>
      <c r="B15" t="s">
        <v>125</v>
      </c>
      <c r="C15" t="s">
        <v>126</v>
      </c>
      <c r="D15">
        <v>2017</v>
      </c>
      <c r="E15" s="7">
        <v>450</v>
      </c>
      <c r="F15" s="7">
        <v>90000</v>
      </c>
    </row>
    <row r="16" spans="1:6">
      <c r="A16" t="s">
        <v>172</v>
      </c>
      <c r="B16" t="s">
        <v>129</v>
      </c>
      <c r="C16" t="s">
        <v>130</v>
      </c>
      <c r="D16">
        <v>2017</v>
      </c>
      <c r="E16" s="7">
        <v>675</v>
      </c>
      <c r="F16" s="7">
        <v>135000</v>
      </c>
    </row>
    <row r="17" spans="1:6">
      <c r="A17" t="s">
        <v>173</v>
      </c>
      <c r="B17" t="s">
        <v>129</v>
      </c>
      <c r="C17" t="s">
        <v>130</v>
      </c>
      <c r="D17">
        <v>2019</v>
      </c>
      <c r="E17" s="7">
        <v>793.125</v>
      </c>
      <c r="F17" s="7">
        <v>158625</v>
      </c>
    </row>
    <row r="18" spans="1:6">
      <c r="A18" t="s">
        <v>174</v>
      </c>
      <c r="B18" t="s">
        <v>129</v>
      </c>
      <c r="C18" t="s">
        <v>131</v>
      </c>
      <c r="D18">
        <v>2021</v>
      </c>
      <c r="E18" s="7">
        <v>928.125</v>
      </c>
      <c r="F18" s="7">
        <v>185625</v>
      </c>
    </row>
    <row r="19" spans="1:6">
      <c r="A19" t="s">
        <v>175</v>
      </c>
      <c r="B19" t="s">
        <v>129</v>
      </c>
      <c r="C19" t="s">
        <v>131</v>
      </c>
      <c r="D19">
        <v>2021</v>
      </c>
      <c r="E19" s="7">
        <v>877.5</v>
      </c>
      <c r="F19" s="7">
        <v>175500</v>
      </c>
    </row>
    <row r="20" spans="1:6">
      <c r="A20" t="s">
        <v>176</v>
      </c>
      <c r="B20" t="s">
        <v>129</v>
      </c>
      <c r="C20" t="s">
        <v>131</v>
      </c>
      <c r="D20">
        <v>2020</v>
      </c>
      <c r="E20" s="7">
        <v>843.75</v>
      </c>
      <c r="F20" s="7">
        <v>168750</v>
      </c>
    </row>
    <row r="21" spans="1:6">
      <c r="A21" t="s">
        <v>177</v>
      </c>
      <c r="B21" t="s">
        <v>129</v>
      </c>
      <c r="C21" t="s">
        <v>132</v>
      </c>
      <c r="D21">
        <v>2020</v>
      </c>
      <c r="E21" s="7">
        <v>843.75</v>
      </c>
      <c r="F21" s="7">
        <v>168750</v>
      </c>
    </row>
    <row r="22" spans="1:6">
      <c r="A22" t="s">
        <v>178</v>
      </c>
      <c r="B22" t="s">
        <v>129</v>
      </c>
      <c r="C22" t="s">
        <v>133</v>
      </c>
      <c r="D22">
        <v>2021</v>
      </c>
      <c r="E22" s="7">
        <v>877.5</v>
      </c>
      <c r="F22" s="7">
        <v>175500</v>
      </c>
    </row>
    <row r="23" spans="1:6">
      <c r="A23" t="s">
        <v>179</v>
      </c>
      <c r="B23" t="s">
        <v>129</v>
      </c>
      <c r="C23" t="s">
        <v>133</v>
      </c>
      <c r="D23">
        <v>2018</v>
      </c>
      <c r="E23" s="7">
        <v>776.25</v>
      </c>
      <c r="F23" s="7">
        <v>155250</v>
      </c>
    </row>
    <row r="24" spans="1:6">
      <c r="A24" t="s">
        <v>180</v>
      </c>
      <c r="B24" t="s">
        <v>129</v>
      </c>
      <c r="C24" t="s">
        <v>133</v>
      </c>
      <c r="D24">
        <v>2019</v>
      </c>
      <c r="E24" s="7">
        <v>793.125</v>
      </c>
      <c r="F24" s="7">
        <v>158625</v>
      </c>
    </row>
    <row r="25" spans="1:6">
      <c r="A25" t="s">
        <v>181</v>
      </c>
      <c r="B25" t="s">
        <v>134</v>
      </c>
      <c r="C25" t="s">
        <v>135</v>
      </c>
      <c r="D25">
        <v>2019</v>
      </c>
      <c r="E25" s="7">
        <v>528.75</v>
      </c>
      <c r="F25" s="7">
        <v>105750</v>
      </c>
    </row>
    <row r="26" spans="1:6">
      <c r="A26" t="s">
        <v>182</v>
      </c>
      <c r="B26" t="s">
        <v>134</v>
      </c>
      <c r="C26" t="s">
        <v>135</v>
      </c>
      <c r="D26">
        <v>2020</v>
      </c>
      <c r="E26" s="7">
        <v>562.5</v>
      </c>
      <c r="F26" s="7">
        <v>112500</v>
      </c>
    </row>
    <row r="27" spans="1:6">
      <c r="A27" t="s">
        <v>183</v>
      </c>
      <c r="B27" t="s">
        <v>134</v>
      </c>
      <c r="C27" t="s">
        <v>135</v>
      </c>
      <c r="D27">
        <v>2021</v>
      </c>
      <c r="E27" s="7">
        <v>585</v>
      </c>
      <c r="F27" s="7">
        <v>117000</v>
      </c>
    </row>
    <row r="28" spans="1:6">
      <c r="A28" t="s">
        <v>184</v>
      </c>
      <c r="B28" t="s">
        <v>134</v>
      </c>
      <c r="C28" t="s">
        <v>135</v>
      </c>
      <c r="D28">
        <v>2021</v>
      </c>
      <c r="E28" s="7">
        <v>618.75</v>
      </c>
      <c r="F28" s="7">
        <v>123750</v>
      </c>
    </row>
    <row r="29" spans="1:6">
      <c r="A29" t="s">
        <v>185</v>
      </c>
      <c r="B29" t="s">
        <v>134</v>
      </c>
      <c r="C29" t="s">
        <v>136</v>
      </c>
      <c r="D29">
        <v>2018</v>
      </c>
      <c r="E29" s="7">
        <v>517.5</v>
      </c>
      <c r="F29" s="7">
        <v>103500</v>
      </c>
    </row>
    <row r="30" spans="1:6">
      <c r="A30" t="s">
        <v>186</v>
      </c>
      <c r="B30" t="s">
        <v>134</v>
      </c>
      <c r="C30" t="s">
        <v>137</v>
      </c>
      <c r="D30">
        <v>2017</v>
      </c>
      <c r="E30" s="7">
        <v>472.5</v>
      </c>
      <c r="F30" s="7">
        <v>94500</v>
      </c>
    </row>
    <row r="31" spans="1:6">
      <c r="A31" t="s">
        <v>187</v>
      </c>
      <c r="B31" t="s">
        <v>134</v>
      </c>
      <c r="C31" t="s">
        <v>137</v>
      </c>
      <c r="D31">
        <v>2019</v>
      </c>
      <c r="E31" s="7">
        <v>528.75</v>
      </c>
      <c r="F31" s="7">
        <v>105750</v>
      </c>
    </row>
    <row r="32" spans="1:6">
      <c r="A32" t="s">
        <v>188</v>
      </c>
      <c r="B32" t="s">
        <v>134</v>
      </c>
      <c r="C32" t="s">
        <v>137</v>
      </c>
      <c r="D32">
        <v>2017</v>
      </c>
      <c r="E32" s="7">
        <v>450</v>
      </c>
      <c r="F32" s="7">
        <v>90000</v>
      </c>
    </row>
    <row r="33" spans="1:6">
      <c r="A33" t="s">
        <v>189</v>
      </c>
      <c r="B33" t="s">
        <v>134</v>
      </c>
      <c r="C33" t="s">
        <v>137</v>
      </c>
      <c r="D33">
        <v>2020</v>
      </c>
      <c r="E33" s="7">
        <v>562.5</v>
      </c>
      <c r="F33" s="7">
        <v>112500</v>
      </c>
    </row>
    <row r="34" spans="1:6">
      <c r="A34" t="s">
        <v>190</v>
      </c>
      <c r="B34" t="s">
        <v>134</v>
      </c>
      <c r="C34" t="s">
        <v>138</v>
      </c>
      <c r="D34">
        <v>2018</v>
      </c>
      <c r="E34" s="7">
        <v>517.5</v>
      </c>
      <c r="F34" s="7">
        <v>103500</v>
      </c>
    </row>
    <row r="35" spans="1:6">
      <c r="A35" t="s">
        <v>191</v>
      </c>
      <c r="B35" t="s">
        <v>139</v>
      </c>
      <c r="C35" t="s">
        <v>140</v>
      </c>
      <c r="D35">
        <v>2020</v>
      </c>
      <c r="E35" s="7">
        <v>562.5</v>
      </c>
      <c r="F35" s="7">
        <v>112500</v>
      </c>
    </row>
    <row r="36" spans="1:6">
      <c r="A36" t="s">
        <v>192</v>
      </c>
      <c r="B36" t="s">
        <v>139</v>
      </c>
      <c r="C36" t="s">
        <v>140</v>
      </c>
      <c r="D36">
        <v>2019</v>
      </c>
      <c r="E36" s="7">
        <v>528.75</v>
      </c>
      <c r="F36" s="7">
        <v>105750</v>
      </c>
    </row>
    <row r="37" spans="1:6">
      <c r="A37" t="s">
        <v>193</v>
      </c>
      <c r="B37" t="s">
        <v>139</v>
      </c>
      <c r="C37" t="s">
        <v>140</v>
      </c>
      <c r="D37">
        <v>2021</v>
      </c>
      <c r="E37" s="7">
        <v>585</v>
      </c>
      <c r="F37" s="7">
        <v>117000</v>
      </c>
    </row>
    <row r="38" spans="1:6">
      <c r="A38" t="s">
        <v>194</v>
      </c>
      <c r="B38" t="s">
        <v>139</v>
      </c>
      <c r="C38" t="s">
        <v>140</v>
      </c>
      <c r="D38">
        <v>2017</v>
      </c>
      <c r="E38" s="7">
        <v>472.5</v>
      </c>
      <c r="F38" s="7">
        <v>94500</v>
      </c>
    </row>
    <row r="39" spans="1:6">
      <c r="A39" t="s">
        <v>195</v>
      </c>
      <c r="B39" t="s">
        <v>139</v>
      </c>
      <c r="C39" t="s">
        <v>140</v>
      </c>
      <c r="D39">
        <v>2018</v>
      </c>
      <c r="E39" s="7">
        <v>517.5</v>
      </c>
      <c r="F39" s="7">
        <v>103500</v>
      </c>
    </row>
    <row r="40" spans="1:6">
      <c r="A40" t="s">
        <v>196</v>
      </c>
      <c r="B40" t="s">
        <v>141</v>
      </c>
      <c r="C40" t="s">
        <v>142</v>
      </c>
      <c r="D40">
        <v>2017</v>
      </c>
      <c r="E40" s="7">
        <v>708.75</v>
      </c>
      <c r="F40" s="7">
        <v>141750</v>
      </c>
    </row>
    <row r="41" spans="1:6">
      <c r="A41" t="s">
        <v>197</v>
      </c>
      <c r="B41" t="s">
        <v>141</v>
      </c>
      <c r="C41" t="s">
        <v>142</v>
      </c>
      <c r="D41">
        <v>2020</v>
      </c>
      <c r="E41" s="7">
        <v>843.75</v>
      </c>
      <c r="F41" s="7">
        <v>168750</v>
      </c>
    </row>
    <row r="42" spans="1:6">
      <c r="A42" t="s">
        <v>198</v>
      </c>
      <c r="B42" t="s">
        <v>141</v>
      </c>
      <c r="C42" t="s">
        <v>143</v>
      </c>
      <c r="D42">
        <v>2019</v>
      </c>
      <c r="E42" s="7">
        <v>793.125</v>
      </c>
      <c r="F42" s="7">
        <v>158625</v>
      </c>
    </row>
    <row r="43" spans="1:6">
      <c r="A43" t="s">
        <v>199</v>
      </c>
      <c r="B43" t="s">
        <v>141</v>
      </c>
      <c r="C43" t="s">
        <v>143</v>
      </c>
      <c r="D43">
        <v>2021</v>
      </c>
      <c r="E43" s="7">
        <v>877.5</v>
      </c>
      <c r="F43" s="7">
        <v>175500</v>
      </c>
    </row>
    <row r="44" spans="1:6">
      <c r="A44" t="s">
        <v>200</v>
      </c>
      <c r="B44" t="s">
        <v>141</v>
      </c>
      <c r="C44" t="s">
        <v>143</v>
      </c>
      <c r="D44">
        <v>2018</v>
      </c>
      <c r="E44" s="7">
        <v>776.25</v>
      </c>
      <c r="F44" s="7">
        <v>155250</v>
      </c>
    </row>
    <row r="45" spans="1:6">
      <c r="A45" t="s">
        <v>201</v>
      </c>
      <c r="B45" t="s">
        <v>246</v>
      </c>
      <c r="C45" t="s">
        <v>247</v>
      </c>
      <c r="D45">
        <v>2017</v>
      </c>
      <c r="E45" s="7">
        <v>450</v>
      </c>
      <c r="F45" s="7">
        <v>90000</v>
      </c>
    </row>
    <row r="46" spans="1:6">
      <c r="A46" t="s">
        <v>202</v>
      </c>
      <c r="B46" t="s">
        <v>144</v>
      </c>
      <c r="C46" t="s">
        <v>145</v>
      </c>
      <c r="D46">
        <v>2021</v>
      </c>
      <c r="E46" s="7">
        <v>585</v>
      </c>
      <c r="F46" s="7">
        <v>117000</v>
      </c>
    </row>
    <row r="47" spans="1:6">
      <c r="A47" t="s">
        <v>203</v>
      </c>
      <c r="B47" t="s">
        <v>144</v>
      </c>
      <c r="C47" t="s">
        <v>146</v>
      </c>
      <c r="D47">
        <v>2019</v>
      </c>
      <c r="E47" s="7">
        <v>528.75</v>
      </c>
      <c r="F47" s="7">
        <v>105750</v>
      </c>
    </row>
    <row r="48" spans="1:6">
      <c r="A48" t="s">
        <v>204</v>
      </c>
      <c r="B48" t="s">
        <v>144</v>
      </c>
      <c r="C48" t="s">
        <v>147</v>
      </c>
      <c r="D48">
        <v>2020</v>
      </c>
      <c r="E48" s="7">
        <v>562.5</v>
      </c>
      <c r="F48" s="7">
        <v>112500</v>
      </c>
    </row>
    <row r="49" spans="1:6">
      <c r="A49" t="s">
        <v>205</v>
      </c>
      <c r="B49" t="s">
        <v>144</v>
      </c>
      <c r="C49" t="s">
        <v>146</v>
      </c>
      <c r="D49">
        <v>2018</v>
      </c>
      <c r="E49" s="7">
        <v>517.5</v>
      </c>
      <c r="F49" s="7">
        <v>103500</v>
      </c>
    </row>
    <row r="50" spans="1:6">
      <c r="A50" t="s">
        <v>206</v>
      </c>
      <c r="B50" t="s">
        <v>144</v>
      </c>
      <c r="C50" t="s">
        <v>146</v>
      </c>
      <c r="D50">
        <v>2017</v>
      </c>
      <c r="E50" s="7">
        <v>461.25</v>
      </c>
      <c r="F50" s="7">
        <v>92250</v>
      </c>
    </row>
    <row r="51" spans="1:6">
      <c r="A51" t="s">
        <v>207</v>
      </c>
      <c r="B51" t="s">
        <v>144</v>
      </c>
      <c r="C51" t="s">
        <v>146</v>
      </c>
      <c r="D51">
        <v>2017</v>
      </c>
      <c r="E51" s="7">
        <v>450</v>
      </c>
      <c r="F51" s="7">
        <v>90000</v>
      </c>
    </row>
    <row r="52" spans="1:6">
      <c r="A52" t="s">
        <v>208</v>
      </c>
      <c r="B52" t="s">
        <v>144</v>
      </c>
      <c r="C52" t="s">
        <v>148</v>
      </c>
      <c r="D52">
        <v>2021</v>
      </c>
      <c r="E52" s="7">
        <v>618.75</v>
      </c>
      <c r="F52" s="7">
        <v>123750</v>
      </c>
    </row>
    <row r="53" spans="1:6">
      <c r="A53" t="s">
        <v>209</v>
      </c>
      <c r="B53" t="s">
        <v>149</v>
      </c>
      <c r="C53" s="8">
        <v>911</v>
      </c>
      <c r="D53">
        <v>2019</v>
      </c>
      <c r="E53" s="7">
        <v>793.125</v>
      </c>
      <c r="F53" s="7">
        <v>158625</v>
      </c>
    </row>
    <row r="54" spans="1:6">
      <c r="A54" t="s">
        <v>210</v>
      </c>
      <c r="B54" t="s">
        <v>149</v>
      </c>
      <c r="C54" s="8">
        <v>911</v>
      </c>
      <c r="D54">
        <v>2021</v>
      </c>
      <c r="E54" s="7">
        <v>877.5</v>
      </c>
      <c r="F54" s="7">
        <v>175500</v>
      </c>
    </row>
    <row r="55" spans="1:6">
      <c r="A55" t="s">
        <v>211</v>
      </c>
      <c r="B55" t="s">
        <v>149</v>
      </c>
      <c r="C55" t="s">
        <v>150</v>
      </c>
      <c r="D55">
        <v>2021</v>
      </c>
      <c r="E55" s="7">
        <v>877.5</v>
      </c>
      <c r="F55" s="7">
        <v>175500</v>
      </c>
    </row>
    <row r="56" spans="1:6">
      <c r="A56" t="s">
        <v>212</v>
      </c>
      <c r="B56" t="s">
        <v>149</v>
      </c>
      <c r="C56" t="s">
        <v>151</v>
      </c>
      <c r="D56">
        <v>2020</v>
      </c>
      <c r="E56" s="7">
        <v>843.75</v>
      </c>
      <c r="F56" s="7">
        <v>168750</v>
      </c>
    </row>
    <row r="57" spans="1:6">
      <c r="A57" t="s">
        <v>213</v>
      </c>
      <c r="B57" t="s">
        <v>149</v>
      </c>
      <c r="C57" t="s">
        <v>152</v>
      </c>
      <c r="D57">
        <v>2019</v>
      </c>
      <c r="E57" s="7">
        <v>793.125</v>
      </c>
      <c r="F57" s="7">
        <v>158625</v>
      </c>
    </row>
    <row r="58" spans="1:6">
      <c r="A58" t="s">
        <v>214</v>
      </c>
      <c r="B58" t="s">
        <v>149</v>
      </c>
      <c r="C58" t="s">
        <v>153</v>
      </c>
      <c r="D58">
        <v>2017</v>
      </c>
      <c r="E58" s="7">
        <v>708.75</v>
      </c>
      <c r="F58" s="7">
        <v>141750</v>
      </c>
    </row>
    <row r="59" spans="1:6">
      <c r="A59" t="s">
        <v>215</v>
      </c>
      <c r="B59" t="s">
        <v>149</v>
      </c>
      <c r="C59" t="s">
        <v>153</v>
      </c>
      <c r="D59">
        <v>2018</v>
      </c>
      <c r="E59" s="7">
        <v>776.25</v>
      </c>
      <c r="F59" s="7">
        <v>155250</v>
      </c>
    </row>
    <row r="60" spans="1:6">
      <c r="A60" t="s">
        <v>216</v>
      </c>
      <c r="B60" t="s">
        <v>149</v>
      </c>
      <c r="C60" t="s">
        <v>154</v>
      </c>
      <c r="D60">
        <v>2018</v>
      </c>
      <c r="E60" s="7">
        <v>776.25</v>
      </c>
      <c r="F60" s="7">
        <v>155250</v>
      </c>
    </row>
    <row r="61" spans="1:6">
      <c r="A61" t="s">
        <v>217</v>
      </c>
      <c r="B61" t="s">
        <v>149</v>
      </c>
      <c r="C61" t="s">
        <v>154</v>
      </c>
      <c r="D61">
        <v>2020</v>
      </c>
      <c r="E61" s="7">
        <v>843.75</v>
      </c>
      <c r="F61" s="7">
        <v>168750</v>
      </c>
    </row>
    <row r="62" spans="1:6">
      <c r="A62" t="s">
        <v>218</v>
      </c>
      <c r="B62" t="s">
        <v>149</v>
      </c>
      <c r="C62" t="s">
        <v>154</v>
      </c>
      <c r="D62">
        <v>2017</v>
      </c>
      <c r="E62" s="7">
        <v>675</v>
      </c>
      <c r="F62" s="7">
        <v>135000</v>
      </c>
    </row>
    <row r="63" spans="1:6">
      <c r="A63" t="s">
        <v>219</v>
      </c>
      <c r="B63" t="s">
        <v>155</v>
      </c>
      <c r="C63" t="s">
        <v>156</v>
      </c>
      <c r="D63">
        <v>2017</v>
      </c>
      <c r="E63" s="7">
        <v>675</v>
      </c>
      <c r="F63" s="7">
        <v>135000</v>
      </c>
    </row>
    <row r="64" spans="1:6">
      <c r="A64" t="s">
        <v>220</v>
      </c>
      <c r="B64" t="s">
        <v>155</v>
      </c>
      <c r="C64" t="s">
        <v>156</v>
      </c>
      <c r="D64">
        <v>2020</v>
      </c>
      <c r="E64" s="7">
        <v>843.75</v>
      </c>
      <c r="F64" s="7">
        <v>168750</v>
      </c>
    </row>
    <row r="65" spans="1:6">
      <c r="A65" t="s">
        <v>221</v>
      </c>
      <c r="B65" t="s">
        <v>155</v>
      </c>
      <c r="C65" t="s">
        <v>157</v>
      </c>
      <c r="D65">
        <v>2021</v>
      </c>
      <c r="E65" s="7">
        <v>877.5</v>
      </c>
      <c r="F65" s="7">
        <v>175500</v>
      </c>
    </row>
    <row r="66" spans="1:6">
      <c r="A66" t="s">
        <v>222</v>
      </c>
      <c r="B66" t="s">
        <v>155</v>
      </c>
      <c r="C66" t="s">
        <v>158</v>
      </c>
      <c r="D66">
        <v>2021</v>
      </c>
      <c r="E66" s="7">
        <v>928.125</v>
      </c>
      <c r="F66" s="7">
        <v>185625</v>
      </c>
    </row>
    <row r="67" spans="1:6">
      <c r="A67" t="s">
        <v>223</v>
      </c>
      <c r="B67" t="s">
        <v>155</v>
      </c>
      <c r="C67" t="s">
        <v>158</v>
      </c>
      <c r="D67">
        <v>2019</v>
      </c>
      <c r="E67" s="7">
        <v>793.125</v>
      </c>
      <c r="F67" s="7">
        <v>158625</v>
      </c>
    </row>
  </sheetData>
  <sortState xmlns:xlrd2="http://schemas.microsoft.com/office/spreadsheetml/2017/richdata2" ref="A2:E21">
    <sortCondition ref="B2:B2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DE938-17B5-4C25-BB12-9023233A7C23}">
  <sheetPr codeName="Sheet3"/>
  <dimension ref="A1:C6"/>
  <sheetViews>
    <sheetView workbookViewId="0">
      <selection activeCell="E13" sqref="E13"/>
    </sheetView>
  </sheetViews>
  <sheetFormatPr defaultRowHeight="14.4"/>
  <cols>
    <col min="2" max="2" width="22.44140625" bestFit="1" customWidth="1"/>
  </cols>
  <sheetData>
    <row r="1" spans="1:3">
      <c r="A1" s="6" t="s">
        <v>234</v>
      </c>
      <c r="B1" s="6" t="s">
        <v>235</v>
      </c>
      <c r="C1" s="6" t="s">
        <v>17</v>
      </c>
    </row>
    <row r="2" spans="1:3">
      <c r="A2">
        <v>101</v>
      </c>
      <c r="B2" t="s">
        <v>460</v>
      </c>
      <c r="C2">
        <v>5</v>
      </c>
    </row>
    <row r="3" spans="1:3">
      <c r="A3">
        <v>102</v>
      </c>
      <c r="B3" t="s">
        <v>237</v>
      </c>
      <c r="C3">
        <v>10</v>
      </c>
    </row>
    <row r="4" spans="1:3">
      <c r="A4">
        <v>103</v>
      </c>
      <c r="B4" t="s">
        <v>236</v>
      </c>
      <c r="C4">
        <v>13</v>
      </c>
    </row>
    <row r="5" spans="1:3">
      <c r="A5">
        <v>104</v>
      </c>
      <c r="B5" t="s">
        <v>239</v>
      </c>
      <c r="C5">
        <v>3</v>
      </c>
    </row>
    <row r="6" spans="1:3">
      <c r="A6">
        <v>105</v>
      </c>
      <c r="B6" t="s">
        <v>238</v>
      </c>
      <c r="C6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F0EE9-CE0C-4E54-A43F-1B10ED988838}">
  <sheetPr codeName="Sheet4"/>
  <dimension ref="A1:I28"/>
  <sheetViews>
    <sheetView workbookViewId="0">
      <selection activeCell="F16" sqref="F16"/>
    </sheetView>
  </sheetViews>
  <sheetFormatPr defaultRowHeight="14.4"/>
  <cols>
    <col min="1" max="1" width="9" bestFit="1" customWidth="1"/>
    <col min="2" max="2" width="11.5546875" bestFit="1" customWidth="1"/>
    <col min="3" max="3" width="8.5546875" bestFit="1" customWidth="1"/>
    <col min="4" max="5" width="16.44140625" bestFit="1" customWidth="1"/>
    <col min="6" max="6" width="16.44140625" customWidth="1"/>
    <col min="7" max="7" width="9.109375" bestFit="1" customWidth="1"/>
    <col min="8" max="8" width="41.109375" bestFit="1" customWidth="1"/>
    <col min="9" max="9" width="16" bestFit="1" customWidth="1"/>
  </cols>
  <sheetData>
    <row r="1" spans="1:9">
      <c r="A1" s="6" t="s">
        <v>459</v>
      </c>
      <c r="B1" s="6" t="s">
        <v>0</v>
      </c>
      <c r="C1" s="6" t="s">
        <v>224</v>
      </c>
      <c r="D1" s="6" t="s">
        <v>231</v>
      </c>
      <c r="E1" s="6" t="s">
        <v>232</v>
      </c>
      <c r="F1" s="6" t="s">
        <v>240</v>
      </c>
      <c r="G1" s="6" t="s">
        <v>233</v>
      </c>
      <c r="H1" s="6" t="s">
        <v>16</v>
      </c>
      <c r="I1" s="6" t="s">
        <v>244</v>
      </c>
    </row>
    <row r="2" spans="1:9">
      <c r="A2" t="s">
        <v>225</v>
      </c>
      <c r="B2">
        <v>11203</v>
      </c>
      <c r="C2" t="s">
        <v>163</v>
      </c>
      <c r="D2" s="2">
        <v>44553.479166666664</v>
      </c>
      <c r="E2" s="2">
        <v>44559.375</v>
      </c>
      <c r="F2" s="2" t="s">
        <v>241</v>
      </c>
      <c r="G2">
        <v>103</v>
      </c>
      <c r="H2" t="str">
        <f>VLOOKUP(B2,[1]Customer!$A$2:$I$21,4,FALSE) &amp; " " &amp; VLOOKUP(B2,[1]Customer!$A$2:$I$21,5,FALSE) &amp; " " &amp; VLOOKUP(B2,[1]Customer!$A$2:$I$21,6,FALSE) &amp; " " &amp; VLOOKUP(B2,[1]Customer!$A$2:$I$21,7,FALSE)</f>
        <v>789 Park Road Brisbane QLD 4000</v>
      </c>
      <c r="I2" s="4">
        <f>528.75 * 6 + 150</f>
        <v>3322.5</v>
      </c>
    </row>
    <row r="3" spans="1:9">
      <c r="A3" t="s">
        <v>225</v>
      </c>
      <c r="B3">
        <v>11203</v>
      </c>
      <c r="C3" t="s">
        <v>182</v>
      </c>
      <c r="D3" s="2">
        <v>44553.479166666664</v>
      </c>
      <c r="E3" s="2">
        <v>44561.4375</v>
      </c>
      <c r="F3" s="2" t="s">
        <v>245</v>
      </c>
      <c r="H3" t="str">
        <f>VLOOKUP(B3,[1]Customer!$A$2:$I$21,4,FALSE) &amp; " " &amp; VLOOKUP(B3,[1]Customer!$A$2:$I$21,5,FALSE) &amp; " " &amp; VLOOKUP(B3,[1]Customer!$A$2:$I$21,6,FALSE) &amp; " " &amp; VLOOKUP(B3,[1]Customer!$A$2:$I$21,7,FALSE)</f>
        <v>789 Park Road Brisbane QLD 4000</v>
      </c>
      <c r="I3" s="4">
        <f>562.5 * 8 + 150</f>
        <v>4650</v>
      </c>
    </row>
    <row r="4" spans="1:9">
      <c r="A4" t="s">
        <v>226</v>
      </c>
      <c r="B4">
        <v>11218</v>
      </c>
      <c r="C4" t="s">
        <v>173</v>
      </c>
      <c r="D4" s="2">
        <v>44484.416666666664</v>
      </c>
      <c r="E4" s="2">
        <v>44494.395833333336</v>
      </c>
      <c r="F4" s="2" t="s">
        <v>241</v>
      </c>
      <c r="G4">
        <v>105</v>
      </c>
      <c r="H4" t="str">
        <f>VLOOKUP(B4,[1]Customer!$A$2:$I$21,4,FALSE) &amp; " " &amp; VLOOKUP(B4,[1]Customer!$A$2:$I$21,5,FALSE) &amp; " " &amp; VLOOKUP(B4,[1]Customer!$A$2:$I$21,6,FALSE) &amp; " " &amp; VLOOKUP(B4,[1]Customer!$A$2:$I$21,7,FALSE)</f>
        <v>666 Goldfields Road Bendigo VIC 3550</v>
      </c>
      <c r="I4" s="4">
        <f>793.125 * 10 + 150</f>
        <v>8081.25</v>
      </c>
    </row>
    <row r="5" spans="1:9">
      <c r="A5" t="s">
        <v>227</v>
      </c>
      <c r="B5">
        <v>11207</v>
      </c>
      <c r="C5" t="s">
        <v>179</v>
      </c>
      <c r="D5" s="2">
        <v>44605.583333333336</v>
      </c>
      <c r="E5" s="2">
        <v>44617.541666666664</v>
      </c>
      <c r="F5" s="2" t="s">
        <v>242</v>
      </c>
      <c r="H5" t="str">
        <f>VLOOKUP(B5,[1]Customer!$A$2:$I$21,4,FALSE) &amp; " " &amp; VLOOKUP(B5,[1]Customer!$A$2:$I$21,5,FALSE) &amp; " " &amp; VLOOKUP(B5,[1]Customer!$A$2:$I$21,6,FALSE) &amp; " " &amp; VLOOKUP(B5,[1]Customer!$A$2:$I$21,7,FALSE)</f>
        <v>444 Capital Avenue Canberra ACT 2600</v>
      </c>
      <c r="I5" s="4">
        <f>776.25 * 13 + 150</f>
        <v>10241.25</v>
      </c>
    </row>
    <row r="6" spans="1:9">
      <c r="A6" t="s">
        <v>227</v>
      </c>
      <c r="B6">
        <v>11207</v>
      </c>
      <c r="C6" t="s">
        <v>161</v>
      </c>
      <c r="D6" s="2">
        <v>44605.583333333336</v>
      </c>
      <c r="E6" s="2">
        <v>44617.541666666664</v>
      </c>
      <c r="F6" s="2" t="s">
        <v>241</v>
      </c>
      <c r="G6">
        <v>101</v>
      </c>
      <c r="H6" t="str">
        <f>VLOOKUP(B6,[1]Customer!$A$2:$I$21,4,FALSE) &amp; " " &amp; VLOOKUP(B6,[1]Customer!$A$2:$I$21,5,FALSE) &amp; " " &amp; VLOOKUP(B6,[1]Customer!$A$2:$I$21,6,FALSE) &amp; " " &amp; VLOOKUP(B6,[1]Customer!$A$2:$I$21,7,FALSE)</f>
        <v>444 Capital Avenue Canberra ACT 2600</v>
      </c>
      <c r="I6" s="4">
        <f>562.5 * 13 + 150</f>
        <v>7462.5</v>
      </c>
    </row>
    <row r="7" spans="1:9">
      <c r="A7" t="s">
        <v>227</v>
      </c>
      <c r="B7">
        <v>11207</v>
      </c>
      <c r="C7" t="s">
        <v>210</v>
      </c>
      <c r="D7" s="2">
        <v>44605.583333333336</v>
      </c>
      <c r="E7" s="2">
        <v>44617.541666666664</v>
      </c>
      <c r="F7" s="2" t="s">
        <v>243</v>
      </c>
      <c r="G7">
        <v>102</v>
      </c>
      <c r="H7" t="str">
        <f>VLOOKUP(B7,[1]Customer!$A$2:$I$21,4,FALSE) &amp; " " &amp; VLOOKUP(B7,[1]Customer!$A$2:$I$21,5,FALSE) &amp; " " &amp; VLOOKUP(B7,[1]Customer!$A$2:$I$21,6,FALSE) &amp; " " &amp; VLOOKUP(B7,[1]Customer!$A$2:$I$21,7,FALSE)</f>
        <v>444 Capital Avenue Canberra ACT 2600</v>
      </c>
      <c r="I7" s="4">
        <f>877.5 * 13 + 150</f>
        <v>11557.5</v>
      </c>
    </row>
    <row r="8" spans="1:9">
      <c r="A8" t="s">
        <v>228</v>
      </c>
      <c r="B8">
        <v>11213</v>
      </c>
      <c r="C8" t="s">
        <v>203</v>
      </c>
      <c r="D8" s="2">
        <v>44638.375</v>
      </c>
      <c r="E8" s="3"/>
      <c r="F8" s="3"/>
      <c r="G8">
        <v>101</v>
      </c>
      <c r="H8" t="str">
        <f>VLOOKUP(B8,[1]Customer!$A$2:$I$21,4,FALSE) &amp; " " &amp; VLOOKUP(B8,[1]Customer!$A$2:$I$21,5,FALSE) &amp; " " &amp; VLOOKUP(B8,[1]Customer!$A$2:$I$21,6,FALSE) &amp; " " &amp; VLOOKUP(B8,[1]Customer!$A$2:$I$21,7,FALSE)</f>
        <v>111 Moorabool Street Geelong VIC 3220</v>
      </c>
      <c r="I8" s="5"/>
    </row>
    <row r="9" spans="1:9">
      <c r="A9" t="s">
        <v>228</v>
      </c>
      <c r="B9">
        <v>11213</v>
      </c>
      <c r="C9" t="s">
        <v>206</v>
      </c>
      <c r="D9" s="2">
        <v>44638.375</v>
      </c>
      <c r="E9" s="3"/>
      <c r="F9" s="3"/>
      <c r="H9" t="str">
        <f>VLOOKUP(B9,[1]Customer!$A$2:$I$21,4,FALSE) &amp; " " &amp; VLOOKUP(B9,[1]Customer!$A$2:$I$21,5,FALSE) &amp; " " &amp; VLOOKUP(B9,[1]Customer!$A$2:$I$21,6,FALSE) &amp; " " &amp; VLOOKUP(B9,[1]Customer!$A$2:$I$21,7,FALSE)</f>
        <v>111 Moorabool Street Geelong VIC 3220</v>
      </c>
      <c r="I9" s="5"/>
    </row>
    <row r="10" spans="1:9">
      <c r="A10" t="s">
        <v>229</v>
      </c>
      <c r="B10">
        <v>11209</v>
      </c>
      <c r="C10" t="s">
        <v>195</v>
      </c>
      <c r="D10" s="2">
        <v>44652.666666666664</v>
      </c>
      <c r="E10" s="3"/>
      <c r="F10" s="3"/>
      <c r="G10">
        <v>104</v>
      </c>
      <c r="H10" t="str">
        <f>VLOOKUP(B10,[1]Customer!$A$2:$I$21,4,FALSE) &amp; " " &amp; VLOOKUP(B10,[1]Customer!$A$2:$I$21,5,FALSE) &amp; " " &amp; VLOOKUP(B10,[1]Customer!$A$2:$I$21,6,FALSE) &amp; " " &amp; VLOOKUP(B10,[1]Customer!$A$2:$I$21,7,FALSE)</f>
        <v>666 Mountain View Drive Hobart TAS 7000</v>
      </c>
      <c r="I10" s="5"/>
    </row>
    <row r="11" spans="1:9">
      <c r="A11" t="s">
        <v>230</v>
      </c>
      <c r="B11">
        <v>11220</v>
      </c>
      <c r="C11" t="s">
        <v>190</v>
      </c>
      <c r="D11" s="2">
        <v>44701.583333333336</v>
      </c>
      <c r="E11" s="3"/>
      <c r="F11" s="3"/>
      <c r="G11">
        <v>104</v>
      </c>
      <c r="H11" t="str">
        <f>VLOOKUP(B11,[1]Customer!$A$2:$I$21,4,FALSE) &amp; " " &amp; VLOOKUP(B11,[1]Customer!$A$2:$I$21,5,FALSE) &amp; " " &amp; VLOOKUP(B11,[1]Customer!$A$2:$I$21,6,FALSE) &amp; " " &amp; VLOOKUP(B11,[1]Customer!$A$2:$I$21,7,FALSE)</f>
        <v>888 Oceanview Terrace Bunbury WA 6230</v>
      </c>
      <c r="I11" s="5"/>
    </row>
    <row r="12" spans="1:9">
      <c r="D12" s="2"/>
    </row>
    <row r="14" spans="1:9">
      <c r="D14" s="2"/>
      <c r="E14" s="24"/>
    </row>
    <row r="15" spans="1:9">
      <c r="D15" s="2"/>
      <c r="E15" s="24"/>
    </row>
    <row r="16" spans="1:9">
      <c r="D16" s="24"/>
      <c r="E16" s="24"/>
    </row>
    <row r="17" spans="4:8">
      <c r="D17" s="24"/>
      <c r="E17" s="24"/>
    </row>
    <row r="18" spans="4:8">
      <c r="H18" s="11"/>
    </row>
    <row r="19" spans="4:8">
      <c r="H19" s="11"/>
    </row>
    <row r="20" spans="4:8">
      <c r="H20" s="11"/>
    </row>
    <row r="21" spans="4:8">
      <c r="D21" s="2"/>
      <c r="H21" s="11"/>
    </row>
    <row r="22" spans="4:8">
      <c r="D22" s="2"/>
    </row>
    <row r="23" spans="4:8">
      <c r="D23" s="2"/>
    </row>
    <row r="26" spans="4:8">
      <c r="H26" s="11"/>
    </row>
    <row r="27" spans="4:8">
      <c r="H27" s="11"/>
    </row>
    <row r="28" spans="4:8">
      <c r="G28" s="12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F19A022455754188B16BAD8BDDAD1E" ma:contentTypeVersion="7" ma:contentTypeDescription="Create a new document." ma:contentTypeScope="" ma:versionID="1ee9d1849a6159dfea3d4a96529bcd4c">
  <xsd:schema xmlns:xsd="http://www.w3.org/2001/XMLSchema" xmlns:xs="http://www.w3.org/2001/XMLSchema" xmlns:p="http://schemas.microsoft.com/office/2006/metadata/properties" xmlns:ns3="2ce2678f-20e5-4bfd-8a54-322a2ee321d4" xmlns:ns4="e2cafb25-5987-4da7-8e75-a57822e80a89" targetNamespace="http://schemas.microsoft.com/office/2006/metadata/properties" ma:root="true" ma:fieldsID="0f9dec582966ec5dabad63996ed2191e" ns3:_="" ns4:_="">
    <xsd:import namespace="2ce2678f-20e5-4bfd-8a54-322a2ee321d4"/>
    <xsd:import namespace="e2cafb25-5987-4da7-8e75-a57822e80a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e2678f-20e5-4bfd-8a54-322a2ee32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cafb25-5987-4da7-8e75-a57822e80a8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ce2678f-20e5-4bfd-8a54-322a2ee321d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E3A7AC-0759-403F-A1CC-13DC4BC662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e2678f-20e5-4bfd-8a54-322a2ee321d4"/>
    <ds:schemaRef ds:uri="e2cafb25-5987-4da7-8e75-a57822e80a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B55979-88FB-41BF-87D3-174F05F94203}">
  <ds:schemaRefs>
    <ds:schemaRef ds:uri="http://schemas.microsoft.com/office/2006/documentManagement/types"/>
    <ds:schemaRef ds:uri="http://purl.org/dc/elements/1.1/"/>
    <ds:schemaRef ds:uri="2ce2678f-20e5-4bfd-8a54-322a2ee321d4"/>
    <ds:schemaRef ds:uri="http://purl.org/dc/terms/"/>
    <ds:schemaRef ds:uri="http://www.w3.org/XML/1998/namespace"/>
    <ds:schemaRef ds:uri="http://schemas.microsoft.com/office/2006/metadata/properties"/>
    <ds:schemaRef ds:uri="e2cafb25-5987-4da7-8e75-a57822e80a89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C53BDF2-62CB-407A-B3A6-BB805D6D71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Documentation</vt:lpstr>
      <vt:lpstr>Menu</vt:lpstr>
      <vt:lpstr>Hire Confirmation PDF</vt:lpstr>
      <vt:lpstr>Hire Agreement</vt:lpstr>
      <vt:lpstr>Tax Invoice</vt:lpstr>
      <vt:lpstr>Customer</vt:lpstr>
      <vt:lpstr>CarDetails</vt:lpstr>
      <vt:lpstr>Add-ons</vt:lpstr>
      <vt:lpstr>RentalDetails</vt:lpstr>
      <vt:lpstr>Customer</vt:lpstr>
      <vt:lpstr>Dress</vt:lpstr>
      <vt:lpstr>Rental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Chan</dc:creator>
  <cp:lastModifiedBy>Datt Patel</cp:lastModifiedBy>
  <cp:lastPrinted>2023-10-10T01:03:28Z</cp:lastPrinted>
  <dcterms:created xsi:type="dcterms:W3CDTF">2022-08-29T12:05:27Z</dcterms:created>
  <dcterms:modified xsi:type="dcterms:W3CDTF">2025-07-27T02:55:36Z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0x0101004AF19A022455754188B16BAD8BDDAD1E</vt:lpwstr>
  </property>
</Properties>
</file>